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fileSharing readOnlyRecommended="1"/>
  <workbookPr hidePivotFieldList="1"/>
  <mc:AlternateContent xmlns:mc="http://schemas.openxmlformats.org/markup-compatibility/2006">
    <mc:Choice Requires="x15">
      <x15ac:absPath xmlns:x15ac="http://schemas.microsoft.com/office/spreadsheetml/2010/11/ac" url="D:\Nam4-HK1\TLCN\ESG_Lakehouse_System\datasets\xlsx\"/>
    </mc:Choice>
  </mc:AlternateContent>
  <xr:revisionPtr revIDLastSave="0" documentId="8_{72893BF2-CA6F-400E-A963-04BC73590AD1}" xr6:coauthVersionLast="47" xr6:coauthVersionMax="47" xr10:uidLastSave="{00000000-0000-0000-0000-000000000000}"/>
  <bookViews>
    <workbookView xWindow="-108" yWindow="-108" windowWidth="23256" windowHeight="12456" activeTab="3" xr2:uid="{00000000-000D-0000-FFFF-FFFF00000000}"/>
  </bookViews>
  <sheets>
    <sheet name="Home" sheetId="47" r:id="rId1"/>
    <sheet name="Environmental" sheetId="36" r:id="rId2"/>
    <sheet name="Social" sheetId="28" r:id="rId3"/>
    <sheet name="Governance" sheetId="35" r:id="rId4"/>
    <sheet name="P&amp;L by Country" sheetId="43" r:id="rId5"/>
    <sheet name="SDG" sheetId="46" r:id="rId6"/>
    <sheet name="Stakeholders" sheetId="45" r:id="rId7"/>
  </sheets>
  <externalReferences>
    <externalReference r:id="rId8"/>
  </externalReferences>
  <definedNames>
    <definedName name="_xlnm._FilterDatabase" localSheetId="3" hidden="1">Governance!$B$7:$J$103</definedName>
    <definedName name="_xlnm._FilterDatabase" localSheetId="2" hidden="1">Social!$B$8:$K$429</definedName>
    <definedName name="_ftn1" localSheetId="3">Governance!#REF!</definedName>
    <definedName name="_ftn2" localSheetId="3">Governance!#REF!</definedName>
    <definedName name="_ftnref1" localSheetId="3">Governance!#REF!</definedName>
    <definedName name="_ftnref2" localSheetId="3">Governance!#REF!</definedName>
    <definedName name="OLE_LINK11" localSheetId="1">Environmental!$M$61</definedName>
    <definedName name="_xlnm.Print_Titles" localSheetId="1">Environmental!$1:$7</definedName>
    <definedName name="_xlnm.Print_Titles" localSheetId="3">Governance!$1:$7</definedName>
    <definedName name="_xlnm.Print_Titles" localSheetId="4">'P&amp;L by Country'!$1:$9</definedName>
    <definedName name="_xlnm.Print_Titles" localSheetId="5">SDG!$7:$7</definedName>
    <definedName name="_xlnm.Print_Titles" localSheetId="2">Social!$7:$7</definedName>
    <definedName name="_xlnm.Print_Titles" localSheetId="6">Stakeholders!$7:$7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6" i="36" l="1"/>
  <c r="G57" i="36"/>
  <c r="L56" i="36"/>
  <c r="G55" i="36"/>
  <c r="L11" i="36" l="1"/>
  <c r="G43" i="36" l="1"/>
  <c r="G50" i="36" s="1"/>
  <c r="I65" i="35" l="1"/>
  <c r="H11" i="36" l="1"/>
  <c r="I11" i="36"/>
  <c r="H14" i="36"/>
  <c r="I14" i="36"/>
  <c r="H21" i="36"/>
  <c r="I21" i="36"/>
  <c r="H26" i="36"/>
  <c r="I26" i="36"/>
  <c r="H34" i="36"/>
  <c r="I34" i="36"/>
  <c r="H38" i="36"/>
  <c r="I38" i="36"/>
  <c r="H40" i="36"/>
  <c r="I40" i="36"/>
  <c r="H42" i="36"/>
  <c r="I42" i="36"/>
  <c r="H50" i="36"/>
  <c r="I50" i="36"/>
  <c r="H55" i="36"/>
  <c r="I55" i="36"/>
  <c r="H67" i="36"/>
  <c r="I67" i="36"/>
  <c r="I68" i="36" s="1"/>
  <c r="H68" i="36"/>
  <c r="H81" i="36"/>
  <c r="I81" i="36"/>
  <c r="I10" i="35" l="1"/>
  <c r="H65" i="35" l="1"/>
  <c r="G65" i="35"/>
  <c r="F65" i="35"/>
  <c r="H62" i="35"/>
  <c r="J419" i="28"/>
  <c r="I419" i="28"/>
  <c r="H419" i="28"/>
  <c r="G419" i="28"/>
  <c r="J416" i="28"/>
  <c r="I416" i="28"/>
  <c r="H416" i="28"/>
  <c r="G416" i="28"/>
  <c r="J415" i="28"/>
  <c r="I415" i="28"/>
  <c r="G415" i="28"/>
  <c r="I320" i="28"/>
  <c r="H320" i="28"/>
  <c r="G320" i="28"/>
  <c r="I319" i="28"/>
  <c r="H319" i="28"/>
  <c r="G319" i="28"/>
  <c r="I95" i="28"/>
  <c r="I93" i="28"/>
  <c r="I91" i="28"/>
  <c r="I89" i="28"/>
  <c r="I87" i="28"/>
  <c r="I85" i="28"/>
  <c r="I83" i="28"/>
  <c r="I81" i="28"/>
  <c r="I79" i="28"/>
  <c r="I77" i="28"/>
  <c r="I75" i="28"/>
  <c r="I73" i="28"/>
  <c r="I71" i="28"/>
  <c r="I69" i="28"/>
  <c r="I67" i="28"/>
  <c r="I65" i="28"/>
  <c r="I63" i="28"/>
  <c r="I61" i="28"/>
  <c r="I59" i="28"/>
  <c r="I57" i="28"/>
  <c r="I55" i="28"/>
  <c r="I53" i="28"/>
  <c r="I51" i="28"/>
  <c r="I49" i="28"/>
  <c r="I47" i="28"/>
  <c r="I45" i="28"/>
  <c r="I43" i="28"/>
  <c r="I41" i="28"/>
  <c r="I39" i="28"/>
  <c r="I37" i="28"/>
  <c r="I35" i="28"/>
  <c r="I33" i="28"/>
  <c r="I31" i="28"/>
  <c r="I29" i="28"/>
  <c r="I27" i="28"/>
  <c r="I22" i="28"/>
  <c r="H22" i="28"/>
  <c r="G22" i="28"/>
  <c r="L86" i="36"/>
  <c r="K86" i="36"/>
  <c r="L81" i="36"/>
  <c r="K81" i="36"/>
  <c r="J81" i="36"/>
  <c r="G81" i="36"/>
  <c r="L67" i="36"/>
  <c r="K67" i="36"/>
  <c r="K68" i="36" s="1"/>
  <c r="J67" i="36"/>
  <c r="J68" i="36" s="1"/>
  <c r="G67" i="36"/>
  <c r="G68" i="36" s="1"/>
  <c r="L63" i="36"/>
  <c r="L55" i="36"/>
  <c r="K55" i="36"/>
  <c r="J55" i="36"/>
  <c r="G51" i="36"/>
  <c r="L50" i="36"/>
  <c r="K50" i="36"/>
  <c r="G40" i="36"/>
  <c r="L38" i="36"/>
  <c r="K38" i="36"/>
  <c r="K42" i="36" s="1"/>
  <c r="J38" i="36"/>
  <c r="J40" i="36" s="1"/>
  <c r="G38" i="36"/>
  <c r="L34" i="36"/>
  <c r="K34" i="36"/>
  <c r="J34" i="36"/>
  <c r="G34" i="36"/>
  <c r="L26" i="36"/>
  <c r="K26" i="36"/>
  <c r="J26" i="36"/>
  <c r="G26" i="36"/>
  <c r="L21" i="36"/>
  <c r="J21" i="36"/>
  <c r="G21" i="36"/>
  <c r="K20" i="36"/>
  <c r="K21" i="36" s="1"/>
  <c r="L14" i="36"/>
  <c r="K14" i="36"/>
  <c r="J14" i="36"/>
  <c r="G14" i="36"/>
  <c r="K11" i="36"/>
  <c r="J11" i="36"/>
  <c r="G11" i="36"/>
  <c r="H415" i="28" l="1"/>
  <c r="K56" i="36"/>
  <c r="L68" i="36"/>
  <c r="L42" i="36"/>
  <c r="L41" i="36"/>
  <c r="L40" i="36"/>
  <c r="K40" i="36"/>
  <c r="G42" i="36"/>
  <c r="H41" i="36"/>
  <c r="I41" i="36"/>
  <c r="K41" i="36"/>
  <c r="J42" i="36"/>
</calcChain>
</file>

<file path=xl/sharedStrings.xml><?xml version="1.0" encoding="utf-8"?>
<sst xmlns="http://schemas.openxmlformats.org/spreadsheetml/2006/main" count="1754" uniqueCount="714">
  <si>
    <t>m³</t>
  </si>
  <si>
    <t>%</t>
  </si>
  <si>
    <t>GJ</t>
  </si>
  <si>
    <t>número</t>
  </si>
  <si>
    <t>NPS (base 100)</t>
  </si>
  <si>
    <t>Total</t>
  </si>
  <si>
    <t>18 a 22</t>
  </si>
  <si>
    <t>23 a 26</t>
  </si>
  <si>
    <t>27 a 32</t>
  </si>
  <si>
    <t>33 a 39</t>
  </si>
  <si>
    <t>40 a 49</t>
  </si>
  <si>
    <t>50 a 64</t>
  </si>
  <si>
    <t>GRI 2-7</t>
  </si>
  <si>
    <t>GRI 2-8</t>
  </si>
  <si>
    <t>GRI 401-1</t>
  </si>
  <si>
    <t>GRI 405-2</t>
  </si>
  <si>
    <t>GRI 404-1</t>
  </si>
  <si>
    <t>GRI 405-1</t>
  </si>
  <si>
    <t>GRI 203-2</t>
  </si>
  <si>
    <t>SASB FN-AC-270a.1, FN-CF-270a.4, FN-IN-270a.2</t>
  </si>
  <si>
    <t>GRI 308-1 e 414-1</t>
  </si>
  <si>
    <t>GRI 204-1</t>
  </si>
  <si>
    <t>GRI 308-2</t>
  </si>
  <si>
    <t>GRI 414-2</t>
  </si>
  <si>
    <t>GRI 201-1 | SASB FN-CF-270a.1</t>
  </si>
  <si>
    <t>GRI 2-28</t>
  </si>
  <si>
    <t>GRI 305-1</t>
  </si>
  <si>
    <t>GRI 305-2</t>
  </si>
  <si>
    <t>GRI 305-3</t>
  </si>
  <si>
    <t>GRI 305-5</t>
  </si>
  <si>
    <t>GRI 303-3, 303-5</t>
  </si>
  <si>
    <t>GRI 303-3</t>
  </si>
  <si>
    <t>GRI 302-1</t>
  </si>
  <si>
    <t>SASB FN-AC-000.B</t>
  </si>
  <si>
    <t>GRI 3-3</t>
  </si>
  <si>
    <t>GRI 305-4</t>
  </si>
  <si>
    <t>GJ/R$ MM</t>
  </si>
  <si>
    <t>GRI 306-4, 306-5  </t>
  </si>
  <si>
    <t>GJ/FTE</t>
  </si>
  <si>
    <t>Solar</t>
  </si>
  <si>
    <t>I-REC</t>
  </si>
  <si>
    <t>Nuclear</t>
  </si>
  <si>
    <t>GRI 302-3</t>
  </si>
  <si>
    <t>GRI 302-2</t>
  </si>
  <si>
    <t>tCO₂e</t>
  </si>
  <si>
    <t>t</t>
  </si>
  <si>
    <t>ND</t>
  </si>
  <si>
    <t>NPS</t>
  </si>
  <si>
    <t>GRI 418-1 
SASB FN-CF-220a.1; FN-CB-230a.1, FN-CF-230a.1</t>
  </si>
  <si>
    <t>Fundação Bradesco</t>
  </si>
  <si>
    <t>GRI 407-1</t>
  </si>
  <si>
    <t>GRI 408-1</t>
  </si>
  <si>
    <t>GRI 409-1</t>
  </si>
  <si>
    <r>
      <rPr>
        <b/>
        <sz val="10"/>
        <color rgb="FFC00000"/>
        <rFont val="Bradesco Sans"/>
        <scheme val="major"/>
      </rPr>
      <t xml:space="preserve">Measuring Stakeholder Capitalism </t>
    </r>
    <r>
      <rPr>
        <sz val="10"/>
        <color rgb="FFC00000"/>
        <rFont val="Bradesco Sans"/>
        <scheme val="major"/>
      </rPr>
      <t xml:space="preserve">
Towards Common Metrics and Consistent Reporting of Sustainable Value Creation</t>
    </r>
  </si>
  <si>
    <t>NA</t>
  </si>
  <si>
    <t>DJSI 3.3.1</t>
  </si>
  <si>
    <t>GRI 2-21</t>
  </si>
  <si>
    <t>GRI 301-3, 301-2</t>
  </si>
  <si>
    <t>PVC</t>
  </si>
  <si>
    <t>Metal</t>
  </si>
  <si>
    <t>GRI 401-3</t>
  </si>
  <si>
    <t xml:space="preserve">GRI 401-1
</t>
  </si>
  <si>
    <t>CID M, CID G e CID F</t>
  </si>
  <si>
    <t>CID S, CID M, 
CID F e CID G</t>
  </si>
  <si>
    <t>CID S, CID M, 
CID F e CID R</t>
  </si>
  <si>
    <t>GRI 2-19</t>
  </si>
  <si>
    <t>Compliance</t>
  </si>
  <si>
    <t>GRI 2-24</t>
  </si>
  <si>
    <t>GRI 2-7 | SASB FN-AC-330a.1, FN-IB-330a.1</t>
  </si>
  <si>
    <t>GRI 403-9</t>
  </si>
  <si>
    <t>GRI 403-10</t>
  </si>
  <si>
    <r>
      <t>tCO</t>
    </r>
    <r>
      <rPr>
        <vertAlign val="subscript"/>
        <sz val="10"/>
        <color theme="1" tint="0.249977111117893"/>
        <rFont val="Bradesco Sans"/>
      </rPr>
      <t>2</t>
    </r>
    <r>
      <rPr>
        <sz val="10"/>
        <color theme="1" tint="0.249977111117893"/>
        <rFont val="Bradesco Sans"/>
      </rPr>
      <t>e/R$ MM</t>
    </r>
  </si>
  <si>
    <r>
      <t>tCO</t>
    </r>
    <r>
      <rPr>
        <vertAlign val="subscript"/>
        <sz val="10"/>
        <color theme="1" tint="0.249977111117893"/>
        <rFont val="Bradesco Sans"/>
      </rPr>
      <t>2</t>
    </r>
    <r>
      <rPr>
        <sz val="10"/>
        <color theme="1" tint="0.249977111117893"/>
        <rFont val="Bradesco Sans"/>
      </rPr>
      <t>e/FTE</t>
    </r>
  </si>
  <si>
    <t>· GRI 2-12, 2-17, 2-29, 3-1, 3-2
· IR 4A</t>
  </si>
  <si>
    <t>· GRI 2-23, 2-26</t>
  </si>
  <si>
    <t xml:space="preserve">· IR 4D
· Embankment Project for Inclusive Capitalism (EPIC)
· Integrated Corporate Governance - World Economic Forum
</t>
  </si>
  <si>
    <t xml:space="preserve">· GRI 2-7, 2-9, 405-1
· SASB </t>
  </si>
  <si>
    <t xml:space="preserve">· GRI 405-2
 </t>
  </si>
  <si>
    <t>· GRI 2-21</t>
  </si>
  <si>
    <t>· GRI 407-1, 408-1, 409-1, 414-1, 414-2</t>
  </si>
  <si>
    <t>· GRI 403-6, 403-9, 403-10</t>
  </si>
  <si>
    <t>· GRI 404-1</t>
  </si>
  <si>
    <t>· GRI 401-1</t>
  </si>
  <si>
    <t>· GRI 201-1, 201-4</t>
  </si>
  <si>
    <t>· GRI 2-23
· IR 4A, 4C</t>
  </si>
  <si>
    <t>· GRI 2-9, 405-1a 
· IR 4B</t>
  </si>
  <si>
    <t xml:space="preserve">GRI 2-23, 2-24, 2-29, G4 FS1 </t>
  </si>
  <si>
    <t>GRI 2-26</t>
  </si>
  <si>
    <t>GRI 406-1</t>
  </si>
  <si>
    <t>GRI 405-1
SASB FN-AC-330a.1, 
FN-IB-330a.1</t>
  </si>
  <si>
    <t xml:space="preserve">GRI 405-1
SASB FN-AC-330a.1, 
FN-IB-330a.1
</t>
  </si>
  <si>
    <t>DJSI 3.3.4</t>
  </si>
  <si>
    <t>DJSI 3.3.8</t>
  </si>
  <si>
    <t>GRI FS11 | SASB FN-AC-410a.1</t>
  </si>
  <si>
    <t>GRI G4 FS6, FS7, FS8 | SASB FN-CB-240a.1</t>
  </si>
  <si>
    <t>ISE MNIfsCRP-b</t>
  </si>
  <si>
    <t>ISE MNIfsCRP-d</t>
  </si>
  <si>
    <t>GRI 2-23; G4 FS1</t>
  </si>
  <si>
    <t>-</t>
  </si>
  <si>
    <t>· GRI 205-3</t>
  </si>
  <si>
    <t>The information reported herein covers the period from January to December, 2023. To help create it, we adopted the standards of the Global Reporting Initiative (GRI) and the Integrated Reporting Guidelines of the Value Reporting Foundation (IIRC). We are also guided by global reporting guidelines, methodologies and frameworks such as: Sustainability Accounting Standards Board (SASB) and SASB Materiality Map; B3 Corporate Sustainability Index ISE (Brazilian Exchange &amp; OTC); Dow Jones Sustainability Index (DJSI); CDP Climate Guidance and Task Force on Climate related Financial Disclosures (TCFD). The data in this worksheet went through the limited assurance process of KPMG's independent auditors. 
To access the assurance letter, contact us by email: sustentabilidade@bradesco.com.br.</t>
  </si>
  <si>
    <t>Macrotheme</t>
  </si>
  <si>
    <t>Theme</t>
  </si>
  <si>
    <t>Indicator</t>
  </si>
  <si>
    <t>Unit</t>
  </si>
  <si>
    <t>Metric</t>
  </si>
  <si>
    <t>Eco-efficiency</t>
  </si>
  <si>
    <t>NA = not available</t>
  </si>
  <si>
    <t>NAP = not applicable</t>
  </si>
  <si>
    <t>Note: Bradesco's performance in 2019 is available only in the Environmental indicators spreadsheet, as this is the base year for the goals established by the Eco-efficiency Master Plan.</t>
  </si>
  <si>
    <t>¹ GHG Protocol Brazil: https://eaesp.fgv.br/centros/centro-estudos-sustentabilidade/projetos/programa-brasileiro-ghg-protocol. Calculation tool: https://eaesp.fgv.br/sites/eaesp.fgv.br/files/u1087/ferramenta_ghg_protocol_v2025.0.1.xlsx</t>
  </si>
  <si>
    <t>Operational Emissions</t>
  </si>
  <si>
    <t>Scope 1</t>
  </si>
  <si>
    <t>Scope 2</t>
  </si>
  <si>
    <t>Scope 3</t>
  </si>
  <si>
    <t>Emissions intensity</t>
  </si>
  <si>
    <t>Indicator by revenue</t>
  </si>
  <si>
    <t>Indicator by net income</t>
  </si>
  <si>
    <t xml:space="preserve">Indicator per capita </t>
  </si>
  <si>
    <t>Indicator per capita (FTE)</t>
  </si>
  <si>
    <t>Power, heat or steam generation</t>
  </si>
  <si>
    <t>Transportation of materials, products, waste, employees and passengers</t>
  </si>
  <si>
    <t>Fugitive emissions</t>
  </si>
  <si>
    <t>Total gross emissions</t>
  </si>
  <si>
    <t>Total biogenic emissions</t>
  </si>
  <si>
    <t>Power Acquisition - Location based</t>
  </si>
  <si>
    <t>Power Acquisition - Market based</t>
  </si>
  <si>
    <t>Upstream transportation and distribution</t>
  </si>
  <si>
    <t>Waste generated in operations</t>
  </si>
  <si>
    <t>Business travel</t>
  </si>
  <si>
    <t>Employee commuting</t>
  </si>
  <si>
    <t>Transportation and distribution (outsourced fleet – upstream)</t>
  </si>
  <si>
    <t>Reduction of emission as a direct result of initiatives</t>
  </si>
  <si>
    <t xml:space="preserve">Scope 1 </t>
  </si>
  <si>
    <t>Total reduction</t>
  </si>
  <si>
    <t>Water management</t>
  </si>
  <si>
    <t>Water consumed</t>
  </si>
  <si>
    <t>Underground water</t>
  </si>
  <si>
    <t>Rainwater</t>
  </si>
  <si>
    <t>Concessionaries</t>
  </si>
  <si>
    <t>Total new water</t>
  </si>
  <si>
    <t>Recycled water (STS)</t>
  </si>
  <si>
    <t>Total consumed water</t>
  </si>
  <si>
    <t>Consumption reduction</t>
  </si>
  <si>
    <t>Discharged water</t>
  </si>
  <si>
    <t>Total discharged water</t>
  </si>
  <si>
    <t>Energy management</t>
  </si>
  <si>
    <t>Energy consumed - stationary</t>
  </si>
  <si>
    <t>National Interconnected System (SIN)</t>
  </si>
  <si>
    <t>Wind</t>
  </si>
  <si>
    <t>Hydroelectric</t>
  </si>
  <si>
    <t>Distributed generation (solar panels)</t>
  </si>
  <si>
    <t>Free contract market</t>
  </si>
  <si>
    <t>Total Renewable</t>
  </si>
  <si>
    <t>Thermal</t>
  </si>
  <si>
    <t>Generators (diesel)</t>
  </si>
  <si>
    <t>Total Non-Renewable</t>
  </si>
  <si>
    <t>Total Stationary Energy Consumed</t>
  </si>
  <si>
    <t>Renewable energy</t>
  </si>
  <si>
    <t>renewable energy consumed in the facilities</t>
  </si>
  <si>
    <t>Energy intensity</t>
  </si>
  <si>
    <t>Energy consumed - mobile</t>
  </si>
  <si>
    <t>Own vehicle fleet – ethanol</t>
  </si>
  <si>
    <t>Own vehicle fleet – gasoline</t>
  </si>
  <si>
    <t>Own vehicle fleet – diesel</t>
  </si>
  <si>
    <t>Own air fleet – jet kerosene</t>
  </si>
  <si>
    <t>Total Mobile Energy Consumed</t>
  </si>
  <si>
    <t>Cash-in-Transit (CIT) transportation</t>
  </si>
  <si>
    <t>Assistance transportation</t>
  </si>
  <si>
    <t>Packaging transport</t>
  </si>
  <si>
    <t>Freight transport</t>
  </si>
  <si>
    <t>Document transport</t>
  </si>
  <si>
    <t>Correspondence transportation</t>
  </si>
  <si>
    <t>Air travel</t>
  </si>
  <si>
    <t>Km reimbursement</t>
  </si>
  <si>
    <t>Taxi</t>
  </si>
  <si>
    <t>Charter</t>
  </si>
  <si>
    <t>Work from home</t>
  </si>
  <si>
    <t>Total energy consumption outside of the organization</t>
  </si>
  <si>
    <t>Waste management</t>
  </si>
  <si>
    <t>Total non-hazardous waste generated, by destination</t>
  </si>
  <si>
    <t>Recycling</t>
  </si>
  <si>
    <t>Composting</t>
  </si>
  <si>
    <t>WDF - energy recovery</t>
  </si>
  <si>
    <t>Landfill</t>
  </si>
  <si>
    <t>Total waste generated</t>
  </si>
  <si>
    <t>Material management</t>
  </si>
  <si>
    <t>Material - renewable</t>
  </si>
  <si>
    <t>Paper</t>
  </si>
  <si>
    <t>Certified wood</t>
  </si>
  <si>
    <t>Material - non-renewable</t>
  </si>
  <si>
    <t>Recycled material</t>
  </si>
  <si>
    <t>Plastic (cards production)</t>
  </si>
  <si>
    <r>
      <t>tCO</t>
    </r>
    <r>
      <rPr>
        <vertAlign val="subscript"/>
        <sz val="10"/>
        <color theme="1" tint="0.249977111117893"/>
        <rFont val="Bradesco Sans"/>
      </rPr>
      <t>2</t>
    </r>
    <r>
      <rPr>
        <sz val="10"/>
        <color theme="1" tint="0.249977111117893"/>
        <rFont val="Bradesco Sans"/>
      </rPr>
      <t>e/employee</t>
    </r>
  </si>
  <si>
    <t>GJ/employee</t>
  </si>
  <si>
    <t>Brazilian GHG Protocol Program. 
2024 emission factors, available in the tool provided by the Program¹.</t>
  </si>
  <si>
    <t>Brazilian GHG Protocol Program. 
National Interconnected System (SIN) emission factor: 0.0545tCO2/MWh</t>
  </si>
  <si>
    <t>BRGAAP revenue (financial intermediation revenue + fees and commission income + retained premiums from insurance, pension and capitalization plans + results from interests in associates and shared control + other operating revenues)</t>
  </si>
  <si>
    <t>Scope 1 – Optimization in the reporting of generator fuel supply data.
Scope 3 – Optimization of on-demand motorcycle service operations and logistics for packaging transport routes; implementation of a transport management system and inclusion of emission clauses and reduction actions for suppliers; reduction in the use of armored vehicles at empty branches and expansion of the zero-landfill initiative.</t>
  </si>
  <si>
    <t>Information is collected through water meters for wells, the wastewater treatment plant (WWTP), and rainwater. In the case of water purchased from utility companies, consumption data is obtained from invoices recorded in a systematized tool. In 2021, 2023, and 2024, due to financial constraints, rainwater was not utilized. In 2024, we changed the service provider responsible for maintaining the WWTP, which allowed for more accurate tracking of reused water consumption data.</t>
  </si>
  <si>
    <t>In relation to the base year (2019), considering the consumption of new water.</t>
  </si>
  <si>
    <t>Considers new water consumed, subtracting reused water</t>
  </si>
  <si>
    <t>For energy purchased from utility companies, consumption data is obtained from invoices recorded in a systematized tool. For invoices that are not available, consumption is estimated using artificial intelligence, based on historical consumption averages or by referencing branches of similar size.
Due to the strategy of consuming energy exclusively from renewable sources, we disclose energy acquired from sources outside the National Interconnected System (SIN) and/or according to the generation associated with the acquired I-RECs. Generator activation occurs only in contingency situations, representing 0.76% of the observed consumption.</t>
  </si>
  <si>
    <t>BRGAAP revenue (financial intermediation revenue + service provision revenue + retained premiums from insurance, pension and capitalization plans + results from interests in associates and shared control + other operating revenues)</t>
  </si>
  <si>
    <t>Use of the Brazilian GHG Protocol Program tool for converting liters of fuel to the corresponding calorific value in GJ.</t>
  </si>
  <si>
    <t>Common and recyclable waste from administrative centers is weighed and reported in a systematized tool. 
Technological waste is sent for decharacterization and disposal, and the quantity is reported through a Waste Disposal Certificate. 
Waste generated by the branch network is estimated based on the weight-to-employee ratio, using the weighing carried out in branches located in administrative buildings.</t>
  </si>
  <si>
    <t>Prices include office materials, such as printing paper, forms, envelopes, reels, pencils, among others (online supply system); plastic and metal for card production (database of produced cards).</t>
  </si>
  <si>
    <t>Criteria</t>
  </si>
  <si>
    <t>Justification</t>
  </si>
  <si>
    <t>Clients</t>
  </si>
  <si>
    <t>Total clients</t>
  </si>
  <si>
    <t>Number of clients</t>
  </si>
  <si>
    <t>million</t>
  </si>
  <si>
    <t>Customer View by Taxpayer Identification Number (no overlapping)</t>
  </si>
  <si>
    <t>Analysis of the entire consolidated position of active account holders and all other companies in the conglomerate.</t>
  </si>
  <si>
    <t>Client satisfaction</t>
  </si>
  <si>
    <t>NAP</t>
  </si>
  <si>
    <t>NPS Natural person</t>
  </si>
  <si>
    <t xml:space="preserve">Calculation using a 'base 100' approach, where NPS 2022 = 100, applying the growth proportions of 2023 and 2024 to this base. </t>
  </si>
  <si>
    <t>Although there are historical records prior to 2022, we decided to establish that year as the baseline in order to better reflect the Bank’s current growth trajectory.</t>
  </si>
  <si>
    <t>Complaint mechanism - Bradesco Organization</t>
  </si>
  <si>
    <t>0800 Ombudsman</t>
  </si>
  <si>
    <t>Consumer Protection Institute (Procon)</t>
  </si>
  <si>
    <t>Central Bank of Brazil (BCB)</t>
  </si>
  <si>
    <t>Superintendence of Private Insurance (Susep)</t>
  </si>
  <si>
    <t>National Regulatory Agency for Private Health Insurance and Plans (ANS)</t>
  </si>
  <si>
    <t>Letter / Press</t>
  </si>
  <si>
    <t>Resolution Effectiveness</t>
  </si>
  <si>
    <t>total complaints identified</t>
  </si>
  <si>
    <t>number</t>
  </si>
  <si>
    <t>total complaints addressed and solved</t>
  </si>
  <si>
    <t>Total complaints submitted in formal consumer protection forums</t>
  </si>
  <si>
    <t xml:space="preserve">total complaints received, solved within five working days </t>
  </si>
  <si>
    <t>To get the Organization's percentage of service within 5 days,we considered the total number of complaints from each ombudsman (Banco Bradesco and Grupo Bradesco Seguros) versus the percentage of service within this period.</t>
  </si>
  <si>
    <t>Database of complaints received by the Organization through all channels available to both clients and non-clients: branches, telephone banking, customer service – first instance, Central Banking of Brazil (BCB), Brazilian Securities and Exchange Commission (CVM), letters, media, ombudsman, Consumer Protection and Defense Foundation (PROCON),  public defender's office, government website (consumidor.gov.br) and independent websites (as Reclame Aqui - "complain here") for clients complaints.</t>
  </si>
  <si>
    <t>People</t>
  </si>
  <si>
    <t>Employee profile in Brazil</t>
  </si>
  <si>
    <t>Employee in Brazil</t>
  </si>
  <si>
    <t>Total employee</t>
  </si>
  <si>
    <t>Employee by region</t>
  </si>
  <si>
    <t>North</t>
  </si>
  <si>
    <t>Northeast</t>
  </si>
  <si>
    <t>Central-west</t>
  </si>
  <si>
    <t>Southeast</t>
  </si>
  <si>
    <t>South</t>
  </si>
  <si>
    <t>Full-time employee, by region</t>
  </si>
  <si>
    <t>Part-time employee, by region</t>
  </si>
  <si>
    <t>Permanent employee, by region</t>
  </si>
  <si>
    <t>Temporary employee, by region</t>
  </si>
  <si>
    <t>Employee by gender</t>
  </si>
  <si>
    <t>Women</t>
  </si>
  <si>
    <t>Men</t>
  </si>
  <si>
    <t>Full-time employee, by gender</t>
  </si>
  <si>
    <t>Part-time employee, by gender</t>
  </si>
  <si>
    <t>Permanent employee, by gender</t>
  </si>
  <si>
    <t>Temporary employee, by gender</t>
  </si>
  <si>
    <t>The numbers include employees, apprentices, interns and statutory employees of the Bank and its Related Companies, including employees of Bradesco Asset (AC) and Bradesco BBI (IB).
They do not include overseas employees, expatriates or disability retirees.</t>
  </si>
  <si>
    <t>The numbers include employees, apprentices, interns and statutory employees of the Bank and its Related Companies.
They do not include overseas employees, expatriates or disability retirees.</t>
  </si>
  <si>
    <t>The numbers include apprentices from the Bank and Related Companies.
They do not include statutory employees, employees (Brazil and overseas), expatriates, disability retirees and interns.</t>
  </si>
  <si>
    <t>The numbers include employees and apprentices with working hours equivalent to 180 hours per month at the Bank and Related Companies.
They do not include overseas employees, interns, statutory employees, disability retirees and expatriates.</t>
  </si>
  <si>
    <t>The numbers include employees of the Bank and Related Companies.
They do not include statutory employees, overseas employees, expatriates, disability retirees, apprentices and interns.</t>
  </si>
  <si>
    <t>The numbers include employees with working hours equivalent to 220 hours per month at the Bank and Related Companies.
They do not include statutory employees, overseas employees, expatriates, disability retirees, apprentices and interns.</t>
  </si>
  <si>
    <t>The numbers include employees and apprentices of the Bank and Related Companies. They do not include statutory employees, overseas employees, expatriates, disability retirees and interns.</t>
  </si>
  <si>
    <t>The numbers include employees and apprendices with working hours equivalent to 180 hours per month at the Bank and Related Companies. They do not include statutory employees, overseas employees, expatriates, disability retirees and interns.</t>
  </si>
  <si>
    <t>The numbers include employees with working hours equivalent to 220 hours per month at the Bank and Related Companies. They do not include statutory employees, overseas employees, expatriates, disability retirees, apprentices and interns.</t>
  </si>
  <si>
    <t>The numbers include employees, apprentices, interns and statutory employees of the Bank and its Related Companies.
They do not include overseas employees, expatriates or disability retirees.
The term "Black" includes black and brown professionals.</t>
  </si>
  <si>
    <t>Women by professional category</t>
  </si>
  <si>
    <t>Board of Executive Officers + Board of Directors</t>
  </si>
  <si>
    <t>Superintendence</t>
  </si>
  <si>
    <t>Management</t>
  </si>
  <si>
    <t>Coordination / Supervision</t>
  </si>
  <si>
    <t>Administrative</t>
  </si>
  <si>
    <t>Operational</t>
  </si>
  <si>
    <t>Apprenticeship</t>
  </si>
  <si>
    <t>Internship</t>
  </si>
  <si>
    <t>Employee by age group</t>
  </si>
  <si>
    <t>Under 30 years old</t>
  </si>
  <si>
    <t>Between 30 and 50 years old</t>
  </si>
  <si>
    <t>Over 50 years old</t>
  </si>
  <si>
    <t>Employee by color/ethnicity</t>
  </si>
  <si>
    <t>White</t>
  </si>
  <si>
    <t>Black</t>
  </si>
  <si>
    <t>Asian</t>
  </si>
  <si>
    <t>Indigenous</t>
  </si>
  <si>
    <t>Not declared</t>
  </si>
  <si>
    <t>Black, by professional category</t>
  </si>
  <si>
    <t>Indigenous, by professional category</t>
  </si>
  <si>
    <t>Asian, by professional category</t>
  </si>
  <si>
    <t>PWD - people with disabilities</t>
  </si>
  <si>
    <t>Total employee with disabilities</t>
  </si>
  <si>
    <t>Employee with disabilities, by professional category</t>
  </si>
  <si>
    <t>The numbers include all service providers, in the "non-employee" system (Techsocial). Examples: lawyers, architects, consultants, engineers, cleaning and maintenance professionals, doctors, security guards, among others.</t>
  </si>
  <si>
    <t>The numbers include all interns (bank and Related Companies)</t>
  </si>
  <si>
    <t>In 2023, there was a change in the basis used for surveying the number of these professionals.</t>
  </si>
  <si>
    <t>Hiring of employees and apprentices, within the Bank and its Related Companies.
Does not include statutory employees, overseas employees or interns.
The denominator considered is the total workforce as of December 2024.</t>
  </si>
  <si>
    <t>Employee with disabilities, by gender</t>
  </si>
  <si>
    <t>Employee with disabilities, by region</t>
  </si>
  <si>
    <t>Workers who are not employee</t>
  </si>
  <si>
    <t>Third-party professionals providing services for the Organization - associates</t>
  </si>
  <si>
    <t>Interns</t>
  </si>
  <si>
    <t>Hiring</t>
  </si>
  <si>
    <t>Hiring by gender</t>
  </si>
  <si>
    <t>Hiring by color / ethnicity</t>
  </si>
  <si>
    <t>Hiring by region</t>
  </si>
  <si>
    <t>Hiring by age group</t>
  </si>
  <si>
    <t>Hiring by professional category</t>
  </si>
  <si>
    <t>Coordination/Supervision</t>
  </si>
  <si>
    <t>Internal movements</t>
  </si>
  <si>
    <t>Internal movements by gender</t>
  </si>
  <si>
    <t>Internal movements by age color</t>
  </si>
  <si>
    <t>Internal movements by color / ethnicity</t>
  </si>
  <si>
    <t>Internal movements by  professional category</t>
  </si>
  <si>
    <t>Terminations</t>
  </si>
  <si>
    <t>Employees who left the organization, by gender</t>
  </si>
  <si>
    <t>Employees who left the organization, by color / ethnicity</t>
  </si>
  <si>
    <t>Employees who left the organization, by region</t>
  </si>
  <si>
    <t>Employees who left the organization, by age group</t>
  </si>
  <si>
    <t>Employees who left the organization, by professional category</t>
  </si>
  <si>
    <t>Termination of employees and apprentices (Bank and Related Companies)
Numbers do not include statutory employees, foreign employees and interns.</t>
  </si>
  <si>
    <t>Turnover</t>
  </si>
  <si>
    <t>Voluntary</t>
  </si>
  <si>
    <t>Turnover by gender</t>
  </si>
  <si>
    <t>Voluntary turnover by gender</t>
  </si>
  <si>
    <t>Turnover by color / ethnicity</t>
  </si>
  <si>
    <t>Voluntary turnover by color / ethnicity</t>
  </si>
  <si>
    <t>Turnover by age group</t>
  </si>
  <si>
    <t>Voluntary turnover by age group</t>
  </si>
  <si>
    <t>Turnover by region</t>
  </si>
  <si>
    <t>Turnover by functional category</t>
  </si>
  <si>
    <t>Voluntary turnover by functional category</t>
  </si>
  <si>
    <t>Average between hirings and terminations, divided by the total number of employees at the end of the period</t>
  </si>
  <si>
    <t>Voluntary terminations divided by the total number of employees at the end of the period</t>
  </si>
  <si>
    <t>All employees have the right to parental leave. The number considers employees and apprentices of the Bank and related companies. Does not include statutory employees, foreign employees and interns.</t>
  </si>
  <si>
    <t>Employees and apprentices (bank and Related Companies)
Numbers do not include statutory employees, foreign employees and interns.</t>
  </si>
  <si>
    <t>Total employees who returned to work after leave divided by total employees expected to return, multiplied by 100</t>
  </si>
  <si>
    <t>Total employees who remained with the Organization 12 months after returning from leave divided by the total employees who returned from leave in the previous reporting period, multiplied by 100</t>
  </si>
  <si>
    <t>Numbers consider the days of absence of employees and apprentices (bank and related), minus vacations, divided by the average number of employees in the year, multiplied by 330 working days</t>
  </si>
  <si>
    <t>Average hours of online and in-person training</t>
  </si>
  <si>
    <t>Total and percentage of employees, apprentices, interns and statutory employees trained</t>
  </si>
  <si>
    <t xml:space="preserve">Total of surveys completed divided by the total of surveys submitted¹ </t>
  </si>
  <si>
    <t>Evaluations submitted per active employee at cycle end.²</t>
  </si>
  <si>
    <t>Average remuneration of men in each group divided by the average remuneration of women in each group. 
For the group "Directors + Board of Directors", the average annual fees and the average of total compensation are considered. 
For the other groups, the average base salary and salary plus other financial incentives are considered, as required by the indicator. 
Employees, apprentices and interns from all companies are considered. It does not include employees from abroad, expatriates and disability retirees.</t>
  </si>
  <si>
    <t>Maternity/Paternity leav</t>
  </si>
  <si>
    <t>Total employees who were entitled to maternity/ paternity leave</t>
  </si>
  <si>
    <t>Total employees who took maternity/paternity leave in thecurrent year</t>
  </si>
  <si>
    <t>Total employees who took maternity/paternity leave in the current year, and whose leave ends in the current year</t>
  </si>
  <si>
    <t>Total employees who took maternity/paternity leave in the current year, and whose leave ends in the following year</t>
  </si>
  <si>
    <t>Total employees expected to return in the current year</t>
  </si>
  <si>
    <t>Total employees who returned to work in the reporting period after the end of maternity/ paternity leave</t>
  </si>
  <si>
    <t>Total employees who did NOT return to work in the reporting period after the end of maternity/paternity leave</t>
  </si>
  <si>
    <t>Total employees who returned to work after maternity/paternity leave and still were employed 12 months after returning to work</t>
  </si>
  <si>
    <t>Return rate</t>
  </si>
  <si>
    <t>Retention rate</t>
  </si>
  <si>
    <t>Absenteeism</t>
  </si>
  <si>
    <t>Absenteeism rate</t>
  </si>
  <si>
    <t>Average hours of training by professional category</t>
  </si>
  <si>
    <t>Average hours of training by gender</t>
  </si>
  <si>
    <t>Average hours of training by age group</t>
  </si>
  <si>
    <t>Average hours of training by color / ethnicity</t>
  </si>
  <si>
    <t>Average hours of training by management level</t>
  </si>
  <si>
    <t>Senior management</t>
  </si>
  <si>
    <t>Middle management</t>
  </si>
  <si>
    <t>Junior management</t>
  </si>
  <si>
    <t>Number and percentage of trained employees</t>
  </si>
  <si>
    <t>Ethics</t>
  </si>
  <si>
    <t>Corruption prevention</t>
  </si>
  <si>
    <t>Relationship with clients and
users</t>
  </si>
  <si>
    <t>Money laundering prevention</t>
  </si>
  <si>
    <t>Harassment</t>
  </si>
  <si>
    <t>Diversity and Human Rights</t>
  </si>
  <si>
    <t>Information Security</t>
  </si>
  <si>
    <t>Occupational health and safety</t>
  </si>
  <si>
    <t>Risk</t>
  </si>
  <si>
    <t>Training</t>
  </si>
  <si>
    <t>Performance evaluation</t>
  </si>
  <si>
    <t>Competency assessment</t>
  </si>
  <si>
    <t>Performance assessment</t>
  </si>
  <si>
    <t>Eligible employees</t>
  </si>
  <si>
    <t>rate</t>
  </si>
  <si>
    <t>Board of Executive Officers + Board of Directors
(base salary + other financial incentives)</t>
  </si>
  <si>
    <t>Superintendence
(base salary + other financial incentives)</t>
  </si>
  <si>
    <t>Management
(base salary + other financial incentives)</t>
  </si>
  <si>
    <t>Ratio of base salary between women and men</t>
  </si>
  <si>
    <t>Satisfaction and engagement</t>
  </si>
  <si>
    <t>by gender</t>
  </si>
  <si>
    <t>by age group</t>
  </si>
  <si>
    <t>by leadership position</t>
  </si>
  <si>
    <t>Leaders</t>
  </si>
  <si>
    <t>Non leaders</t>
  </si>
  <si>
    <t>The survey was available to all Bank and Affiliate employees. Favorability percentage.</t>
  </si>
  <si>
    <t>Employee and apprentice movements across the Bank and its Related Companies throughout the year</t>
  </si>
  <si>
    <t>Accidents at work</t>
  </si>
  <si>
    <t>Number of worked hours (million)</t>
  </si>
  <si>
    <t>Deaths resulting from accidents at work</t>
  </si>
  <si>
    <t>index</t>
  </si>
  <si>
    <t>Accidents at work with serious consequences (except deaths)</t>
  </si>
  <si>
    <t>Mandatory reporting accidents at work</t>
  </si>
  <si>
    <t>Main types of accidents at work</t>
  </si>
  <si>
    <t>Typical - occurs during the exercise of work, causing bodily injury; and
Commute - occurs when the employee commutes to work</t>
  </si>
  <si>
    <t>Typical work or commuting accidents that lead to death</t>
  </si>
  <si>
    <t>Any work accident in which the employee is removed due to inability to work for a day or more must be reported to social security, via e-social, with the opening of a CAT (acronym for "Comunicação de Acidente de Trabalho" - Work Accident Report).</t>
  </si>
  <si>
    <t>Occupational disease</t>
  </si>
  <si>
    <t>Deaths due to occupational diseases</t>
  </si>
  <si>
    <t>Mandatory reporting occupational diseases</t>
  </si>
  <si>
    <t>Main types of occupational diseases</t>
  </si>
  <si>
    <t>text</t>
  </si>
  <si>
    <t>Main cases of occupational diseases, according to the ICD</t>
  </si>
  <si>
    <t>Identified cases of disease related to professional activity - cross between ICD (International  Classification of Diseases) and CNAE (National Classification of Economic Activities), according to the classification of the NTEP (Social Security Epidemiological Technical Nexus), and notified with the issuance of CAT due to occupational disease.</t>
  </si>
  <si>
    <t>Private social investment</t>
  </si>
  <si>
    <t>Community</t>
  </si>
  <si>
    <t>Total social and environmental investment</t>
  </si>
  <si>
    <t>R$ thousand</t>
  </si>
  <si>
    <t>own resources</t>
  </si>
  <si>
    <t>social donations</t>
  </si>
  <si>
    <t>sponsorships</t>
  </si>
  <si>
    <t>incentive laws</t>
  </si>
  <si>
    <t>Rouanet (culture)</t>
  </si>
  <si>
    <t>Sports</t>
  </si>
  <si>
    <t>Child and Adolescent Statute</t>
  </si>
  <si>
    <t>Pronon and Pronas</t>
  </si>
  <si>
    <t>Elderly</t>
  </si>
  <si>
    <t>Total donations and sponsorships made possible by own resources</t>
  </si>
  <si>
    <t>Total donations and sponsorships encouraged (Incentive Laws)</t>
  </si>
  <si>
    <t>Total amount invested by Fundação Bradesco to develop activities</t>
  </si>
  <si>
    <t>Historically, we used to consider the amounts invested by Fundação Bradesco. However, in pursuit of greater transparency and clarity, starting this year we have begun reporting them separately. GRI 2-4</t>
  </si>
  <si>
    <t>Volunteering³</t>
  </si>
  <si>
    <t>actions performed</t>
  </si>
  <si>
    <t>volunteers</t>
  </si>
  <si>
    <t>dedicated hours</t>
  </si>
  <si>
    <t xml:space="preserve">benefited people </t>
  </si>
  <si>
    <t>NA = Not available</t>
  </si>
  <si>
    <t>¹ Includes bank and Related Companies employees. Does not include statutory employees, expatriates, apprentices, interns or employees on leave in the period</t>
  </si>
  <si>
    <t>³ In 2020, volunteer actions were partially suspended due to the pandemic.</t>
  </si>
  <si>
    <t xml:space="preserve">² Does not include foundation employees, directors, expatriates, interns, disability retirees, released union leaders, employees on leave for more than 270 days in the period. </t>
  </si>
  <si>
    <t>Main financial data</t>
  </si>
  <si>
    <t>Recurring results</t>
  </si>
  <si>
    <t>Net interest income</t>
  </si>
  <si>
    <t>R$ billion</t>
  </si>
  <si>
    <t>Expanded ALL</t>
  </si>
  <si>
    <t>Gross income from financial intermediation</t>
  </si>
  <si>
    <t>Income from Insurance, Pension Plans and Capitalization Bonds</t>
  </si>
  <si>
    <t>Fee and commission income</t>
  </si>
  <si>
    <t>Personnel expenses</t>
  </si>
  <si>
    <t>Other administrative expenses</t>
  </si>
  <si>
    <t>Other operating income / (expenses)</t>
  </si>
  <si>
    <t>Tax expenses</t>
  </si>
  <si>
    <t>Equity in the earnings (losses) of unconsolidated and jointly controlled subsidiaries</t>
  </si>
  <si>
    <t>Recurring net income</t>
  </si>
  <si>
    <t>Other information</t>
  </si>
  <si>
    <t>Total Assets</t>
  </si>
  <si>
    <t>R$ trillion</t>
  </si>
  <si>
    <t>Expanded loan portfolio</t>
  </si>
  <si>
    <t>Added value</t>
  </si>
  <si>
    <t>economic value generated</t>
  </si>
  <si>
    <t>gross result from financial intermediation + revenue from service provision + other revenue</t>
  </si>
  <si>
    <t>R$ million</t>
  </si>
  <si>
    <t>economic value distributed</t>
  </si>
  <si>
    <t>labor compensation</t>
  </si>
  <si>
    <t>contribution to government</t>
  </si>
  <si>
    <t>JCP and dividends paid to shareholders (paid and provisioned)</t>
  </si>
  <si>
    <t>remuneration of third party capital - rents</t>
  </si>
  <si>
    <t>economic value retained</t>
  </si>
  <si>
    <t>reinvested in our business, products and services</t>
  </si>
  <si>
    <t>Social and environmental products</t>
  </si>
  <si>
    <t>Own resources</t>
  </si>
  <si>
    <t>with environmental benefits</t>
  </si>
  <si>
    <t>with social benefits</t>
  </si>
  <si>
    <t>Onlendings</t>
  </si>
  <si>
    <t>Consolidation of the balance in proprietary products with environmental and social benefits (such as Photovoltaic Systems, Solar Water Heaters, Electric and Hybrid Vehicles, Microcredit, Accessibility, Local Productive Arrangements, among others), and balances in BNDES transfers (such as Finame, Moderagro, Moderinfra, Proirriga, Prodecoop, Climate Fund, Pronaf, Pronamp, among others).</t>
  </si>
  <si>
    <t>As of 2024, we began monitoring both our proprietary credit line and the line through Pronamp transfers (National Program for Supporting Medium-Sized Rural Producers) within the scope of sustainable business.</t>
  </si>
  <si>
    <t>Responsible investment</t>
  </si>
  <si>
    <t>Asset management</t>
  </si>
  <si>
    <t>Total assets under management (AuM)</t>
  </si>
  <si>
    <t>AuM with ESG assessment</t>
  </si>
  <si>
    <t>AuM with ESG assessment subject to positive environmental and/or social screening</t>
  </si>
  <si>
    <t>Investment in companies that may cause chemical dependency and/or risks or damage to health</t>
  </si>
  <si>
    <t>Investment in companies that produce or market fossil fuel products</t>
  </si>
  <si>
    <t>investment in companies that may cause risks to health or food and nutrition security</t>
  </si>
  <si>
    <t>Compensation</t>
  </si>
  <si>
    <t>Senior management compensation</t>
  </si>
  <si>
    <t>Fixed compensation</t>
  </si>
  <si>
    <t>Variable compensation</t>
  </si>
  <si>
    <t>Benefits (retirement)</t>
  </si>
  <si>
    <t>Proportion of total annual compensation</t>
  </si>
  <si>
    <t>Ratio between the highest compensation and the average compensation at the Organization</t>
  </si>
  <si>
    <t>Total annual compensation of the highest paid individual in the Organization divided by the average total annual compensation of all employees</t>
  </si>
  <si>
    <t>Suppliers relations</t>
  </si>
  <si>
    <t>Overview</t>
  </si>
  <si>
    <t>registered suppliers</t>
  </si>
  <si>
    <t>approved suppliers</t>
  </si>
  <si>
    <t>suppliers with active contracts</t>
  </si>
  <si>
    <t>total contracted value</t>
  </si>
  <si>
    <t>Supplier base with "Approved" status</t>
  </si>
  <si>
    <t>Number of suppliers approved in the year</t>
  </si>
  <si>
    <t>Number of suppliers with active contracts at the end of the year</t>
  </si>
  <si>
    <t>Supplier expenses, by region</t>
  </si>
  <si>
    <t>Total expenses with suppliers of the Bradesco Organization (Banco Bradesco, Grupo Bradesco Seguros, excluding foreign units)</t>
  </si>
  <si>
    <t>The distribution of percentages by regions in 2024 only considers expenses with Banco Bradesco suppliers. The sum totals 99% because the remaining 1% was spent with suppliers located abroad.</t>
  </si>
  <si>
    <t>Number of companies that went through screening/due diligence and were approved in the period</t>
  </si>
  <si>
    <t>Suppliers with active contracts identified with social issues</t>
  </si>
  <si>
    <t>Suppliers with active contracts identified with environmental issues</t>
  </si>
  <si>
    <t>Suppliers classified as critical are considered from a social, environmental and climate point of view, identified and evaluated within the scope of the Bradesco Organization's Social, Environmental and Climate Risk Standard.</t>
  </si>
  <si>
    <t>New suppliers assessment</t>
  </si>
  <si>
    <t>suppliers considered for procurement</t>
  </si>
  <si>
    <t>new suppliers homologated based on social and environmental criteria</t>
  </si>
  <si>
    <t>new suppliers contracted based on social and environmental criteria</t>
  </si>
  <si>
    <t>Socio-environmental risks</t>
  </si>
  <si>
    <t>Suppliers with potential and real negative social impacts</t>
  </si>
  <si>
    <t>Suppliers with potential and real negative environmental impacts</t>
  </si>
  <si>
    <t>Human rights risks in the supply chain</t>
  </si>
  <si>
    <t>Child labor</t>
  </si>
  <si>
    <t>Forced or compulsory labor</t>
  </si>
  <si>
    <t>Young workers exposed to hazardous work</t>
  </si>
  <si>
    <t>Freedom of association and collective bargaining</t>
  </si>
  <si>
    <t>Socio-environmental risk</t>
  </si>
  <si>
    <t>Monitoring of socio-environmental portfolios</t>
  </si>
  <si>
    <t>Assessed projects</t>
  </si>
  <si>
    <t>Financed value of assessed projects</t>
  </si>
  <si>
    <t>Assessed projects framed in the Equator Principles</t>
  </si>
  <si>
    <t>Financed value of assessed projects framed in the Equator Principles</t>
  </si>
  <si>
    <t>Assessed projects not framed in the Equator Principles</t>
  </si>
  <si>
    <t>Ainanced value of assessed projects not framed inthe Equator Principles</t>
  </si>
  <si>
    <t>Projects framed in the Equator Principles</t>
  </si>
  <si>
    <t>Corporate whistleblowing channel</t>
  </si>
  <si>
    <t>Nature of the reports</t>
  </si>
  <si>
    <t>Conduct/Behavior</t>
  </si>
  <si>
    <t>Improper professional behavior</t>
  </si>
  <si>
    <t>Customer/user service</t>
  </si>
  <si>
    <t>Psychological harassment</t>
  </si>
  <si>
    <t>Sexual harassment</t>
  </si>
  <si>
    <t>Discrimination</t>
  </si>
  <si>
    <t>Other</t>
  </si>
  <si>
    <t>Corruption</t>
  </si>
  <si>
    <t>Process irregularities</t>
  </si>
  <si>
    <t>Anti-competitive practices</t>
  </si>
  <si>
    <t xml:space="preserve">Result of the analysis </t>
  </si>
  <si>
    <t>Pending</t>
  </si>
  <si>
    <t>Non-valid</t>
  </si>
  <si>
    <t>Partly-valid</t>
  </si>
  <si>
    <t>Valid</t>
  </si>
  <si>
    <t>Measures adopted</t>
  </si>
  <si>
    <t>Verbal warning</t>
  </si>
  <si>
    <t>Written warning</t>
  </si>
  <si>
    <t>Delisting</t>
  </si>
  <si>
    <t>Reorientation</t>
  </si>
  <si>
    <t>Dismissal</t>
  </si>
  <si>
    <t>Cases of discrimination</t>
  </si>
  <si>
    <t>Ethnic-racial</t>
  </si>
  <si>
    <t>Gender</t>
  </si>
  <si>
    <t>Religion</t>
  </si>
  <si>
    <t>Political opinion</t>
  </si>
  <si>
    <t>Social origin</t>
  </si>
  <si>
    <t>Number of complaints analyzed</t>
  </si>
  <si>
    <t>Partially valid</t>
  </si>
  <si>
    <t>Invalid</t>
  </si>
  <si>
    <t>Inconclusive</t>
  </si>
  <si>
    <t>Under evaluation</t>
  </si>
  <si>
    <t>Correction plan implemented</t>
  </si>
  <si>
    <t>Warning</t>
  </si>
  <si>
    <t>Feedback and Reorientation</t>
  </si>
  <si>
    <t>Workplace transfer</t>
  </si>
  <si>
    <t>Relationship with institutions</t>
  </si>
  <si>
    <t>Contributions</t>
  </si>
  <si>
    <t>Total contributions and other expenses</t>
  </si>
  <si>
    <t>Lobbying, representing interests or similar</t>
  </si>
  <si>
    <t>R$</t>
  </si>
  <si>
    <t>Local, regional, or national polical campaigns/candidates*</t>
  </si>
  <si>
    <t>Data obtained from reports received through our Whistleblower Channel</t>
  </si>
  <si>
    <t>Of the investigated moral harassment reports, 122 were classified as substantiated. In these cases, the disciplinary measures applied included reorientation, verbal warnings, written warnings, or the dismissal of the employee involved.
Among the investigated cases involving sexual harassment, 11 were classified as substantiated. One resulted in a written warning, while the others led to the dismissal of the employee.
Six discrimination reports were classified as substantiated. Two resulted in reorientation, and the others in the dismissal of the employee involved.
In 2024, there were 10 substantiated reports related to the topic of “Conflict of Interest,” which led to two disqualifications and three dismissals, in addition to verbal and written warnings. In the table, this topic is included under “Inappropriate Professional Conduct.”
In 2024, we did not receive any reports of corruption and bribery, money laundering, or customer data breaches.</t>
  </si>
  <si>
    <t>We understand that all complaints received through our Whistleblower Channel reflect, directly or indirectly, a violation of human rights.</t>
  </si>
  <si>
    <t>* We prohibit any kind of corporate contribution to candidates or political parties, whether in the form of a financial donation or any other form of aid. Such prohibitions, as well as other cases of donations, are available in the Corporate Donations and Sponsorship Policy and follow the precepts of current legislation (Laws nº 9,504/1997 and nº 9,096/1995) and the Direct Action of Unconstitutionality nº 4,650 (STF/ 2015).</t>
  </si>
  <si>
    <r>
      <t xml:space="preserve">Result of the Main Overseas Locations </t>
    </r>
    <r>
      <rPr>
        <sz val="12"/>
        <color theme="0"/>
        <rFont val="Montserrat"/>
      </rPr>
      <t>(GRI 207-4b)</t>
    </r>
  </si>
  <si>
    <r>
      <t xml:space="preserve">Brazil </t>
    </r>
    <r>
      <rPr>
        <b/>
        <vertAlign val="superscript"/>
        <sz val="9"/>
        <color theme="1" tint="0.249977111117893"/>
        <rFont val="Bradesco Sans"/>
      </rPr>
      <t>(**)</t>
    </r>
  </si>
  <si>
    <r>
      <t>United States</t>
    </r>
    <r>
      <rPr>
        <b/>
        <vertAlign val="superscript"/>
        <sz val="9"/>
        <color theme="1" tint="0.249977111117893"/>
        <rFont val="Bradesco Sans"/>
      </rPr>
      <t xml:space="preserve"> (1)</t>
    </r>
  </si>
  <si>
    <r>
      <t xml:space="preserve">Argentina </t>
    </r>
    <r>
      <rPr>
        <b/>
        <vertAlign val="superscript"/>
        <sz val="9"/>
        <color theme="1" tint="0.249977111117893"/>
        <rFont val="Bradesco Sans"/>
      </rPr>
      <t>(2)</t>
    </r>
  </si>
  <si>
    <r>
      <t xml:space="preserve">Mexico </t>
    </r>
    <r>
      <rPr>
        <b/>
        <vertAlign val="superscript"/>
        <sz val="9"/>
        <color theme="1" tint="0.249977111117893"/>
        <rFont val="Bradesco Sans"/>
      </rPr>
      <t>(3)</t>
    </r>
  </si>
  <si>
    <r>
      <t>Cayman</t>
    </r>
    <r>
      <rPr>
        <b/>
        <vertAlign val="superscript"/>
        <sz val="9"/>
        <color theme="1" tint="0.249977111117893"/>
        <rFont val="Bradesco Sans"/>
      </rPr>
      <t>(4)</t>
    </r>
  </si>
  <si>
    <r>
      <t>Luxembourg</t>
    </r>
    <r>
      <rPr>
        <b/>
        <vertAlign val="superscript"/>
        <sz val="9"/>
        <color theme="1" tint="0.249977111117893"/>
        <rFont val="Bradesco Sans"/>
      </rPr>
      <t xml:space="preserve"> (5) </t>
    </r>
  </si>
  <si>
    <r>
      <t>Other countries</t>
    </r>
    <r>
      <rPr>
        <b/>
        <vertAlign val="superscript"/>
        <sz val="9"/>
        <color theme="1" tint="0.249977111117893"/>
        <rFont val="Bradesco Sans"/>
      </rPr>
      <t xml:space="preserve"> (6)</t>
    </r>
  </si>
  <si>
    <t>Revenue from financial intermediation</t>
  </si>
  <si>
    <t>Financial intermediation expenses</t>
  </si>
  <si>
    <t>Fee and Commission Income</t>
  </si>
  <si>
    <t>Personnel Expenses</t>
  </si>
  <si>
    <t>Other Administrative Expenses</t>
  </si>
  <si>
    <t>Tax Expenses</t>
  </si>
  <si>
    <t>Equity in the earnings of unconsol. and jointly controlled subsidiaries</t>
  </si>
  <si>
    <t>IR/CS and Other income/expenses</t>
  </si>
  <si>
    <t xml:space="preserve">Net profit/(loss) </t>
  </si>
  <si>
    <t>Number of employees</t>
  </si>
  <si>
    <t>(1) New York branch; Bradesco Securities, Inc.; Bradesco Bank; Bradesco Investments Inc.; and Bradesco Global Advisors Inc.;</t>
  </si>
  <si>
    <t>(2) Bradesco Argentina S.A.; and Bradesco Argentina de Seguros S.A.;</t>
  </si>
  <si>
    <t>(3) Bradescard México, Sociedad de Responsabilidad Limitada and Odontored Seguros Dentales S.A.;</t>
  </si>
  <si>
    <t>(4) Grand Cayman branch; Cidade Capital Markets Ltd.; and Brasília Cayman Investments II Limited;</t>
  </si>
  <si>
    <t>(5) Banco Bradesco Europa S.A.;</t>
  </si>
  <si>
    <t>(6) China: Bradesco Securities Hong Kong Limited; England: Bradesco Securities UK Limited; and Portugal: Bradport - SGPS Sociedade Unipessoal; and</t>
  </si>
  <si>
    <t>(**) Brazil = Bradesco Organization (-) Net balances from elimination of companies abroad.</t>
  </si>
  <si>
    <t>SDG</t>
  </si>
  <si>
    <t>Target</t>
  </si>
  <si>
    <t>Reference in the Integrated Report</t>
  </si>
  <si>
    <t>Reference in the ESG Report</t>
  </si>
  <si>
    <r>
      <rPr>
        <sz val="10"/>
        <color rgb="FFC00000"/>
        <rFont val="Bradesco Sans Medium"/>
      </rPr>
      <t>Target 4.4</t>
    </r>
    <r>
      <rPr>
        <sz val="10"/>
        <rFont val="Bradesco Sans Medium"/>
      </rPr>
      <t xml:space="preserve">: </t>
    </r>
    <r>
      <rPr>
        <sz val="10"/>
        <rFont val="Bradesco Sans"/>
      </rPr>
      <t>By 2030, substantially increase the number of youth and adults who have relevant skills, including technical and vocational skills, for employment, decent jobs and entrepreneurship.</t>
    </r>
  </si>
  <si>
    <r>
      <rPr>
        <sz val="10"/>
        <color rgb="FFC00000"/>
        <rFont val="Bradesco Sans"/>
      </rPr>
      <t>Target 4.5:</t>
    </r>
    <r>
      <rPr>
        <sz val="10"/>
        <rFont val="Bradesco Sans"/>
      </rPr>
      <t xml:space="preserve"> By 2030, eliminate gender disparities in education and ensure equal access to all levels of education and vocational training for the vulnerable, including persons with disabilities, indigenous peoples and children in vulnerable situations.</t>
    </r>
  </si>
  <si>
    <r>
      <rPr>
        <sz val="10"/>
        <color rgb="FFC00000"/>
        <rFont val="Bradesco Sans"/>
      </rPr>
      <t>Target 5.1:</t>
    </r>
    <r>
      <rPr>
        <sz val="10"/>
        <rFont val="Bradesco Sans"/>
      </rPr>
      <t xml:space="preserve"> End all forms of discrimination against all women and girls everywhere.</t>
    </r>
  </si>
  <si>
    <r>
      <rPr>
        <sz val="10"/>
        <color rgb="FFC00000"/>
        <rFont val="Bradesco Sans"/>
      </rPr>
      <t>Target 5.5:</t>
    </r>
    <r>
      <rPr>
        <sz val="10"/>
        <rFont val="Bradesco Sans"/>
      </rPr>
      <t xml:space="preserve"> Ensure women’s full and effective participation and equal opportunities for leadership at all levels of decision-making in political, economic and public life.</t>
    </r>
  </si>
  <si>
    <r>
      <rPr>
        <sz val="10"/>
        <color rgb="FFC00000"/>
        <rFont val="Bradesco Sans"/>
      </rPr>
      <t>Target 5.a:</t>
    </r>
    <r>
      <rPr>
        <sz val="10"/>
        <rFont val="Bradesco Sans"/>
      </rPr>
      <t xml:space="preserve"> Undertake reforms to give women equal rights to economic resources, as well as access to ownership and control over land and other forms of property, financial services, inheritance and natural resources, in accordance with national laws.</t>
    </r>
  </si>
  <si>
    <r>
      <rPr>
        <sz val="10"/>
        <color rgb="FFC00000"/>
        <rFont val="Bradesco Sans"/>
      </rPr>
      <t>Target 5.b:</t>
    </r>
    <r>
      <rPr>
        <sz val="10"/>
        <rFont val="Bradesco Sans"/>
      </rPr>
      <t xml:space="preserve"> Enhance the use of enabling technology, in particular information and communications technology, to promote the empowerment of women.</t>
    </r>
  </si>
  <si>
    <r>
      <rPr>
        <sz val="10"/>
        <color rgb="FFC00000"/>
        <rFont val="Bradesco Sans"/>
      </rPr>
      <t>Target 5.c:</t>
    </r>
    <r>
      <rPr>
        <sz val="10"/>
        <rFont val="Bradesco Sans"/>
      </rPr>
      <t xml:space="preserve"> Adopt and strengthen sound policies and enforceable legislation for the promotion of gender equality and the empowerment of all women and girls at all levels.</t>
    </r>
  </si>
  <si>
    <r>
      <rPr>
        <sz val="10"/>
        <color rgb="FFC00000"/>
        <rFont val="Bradesco Sans"/>
      </rPr>
      <t>Target 8.3:</t>
    </r>
    <r>
      <rPr>
        <sz val="10"/>
        <rFont val="Bradesco Sans"/>
      </rPr>
      <t xml:space="preserve"> Promote development-oriented policies that support productive activities, decent job creation, entrepreneurship, creativity and innovation, and encourage the formalization and growth of micro-, small- and medium-sized enterprises, including through access to financial services.</t>
    </r>
  </si>
  <si>
    <r>
      <rPr>
        <sz val="10"/>
        <color rgb="FFC00000"/>
        <rFont val="Bradesco Sans"/>
      </rPr>
      <t>Target 8.4:</t>
    </r>
    <r>
      <rPr>
        <sz val="10"/>
        <rFont val="Bradesco Sans"/>
      </rPr>
      <t xml:space="preserve">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r>
  </si>
  <si>
    <r>
      <rPr>
        <sz val="10"/>
        <color rgb="FFC00000"/>
        <rFont val="Bradesco Sans"/>
      </rPr>
      <t>Target 8.7:</t>
    </r>
    <r>
      <rPr>
        <sz val="10"/>
        <rFont val="Bradesco Sans"/>
      </rPr>
      <t xml:space="preserve">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r>
  </si>
  <si>
    <r>
      <rPr>
        <sz val="10"/>
        <color rgb="FFC00000"/>
        <rFont val="Bradesco Sans"/>
      </rPr>
      <t>Target 8.10:</t>
    </r>
    <r>
      <rPr>
        <sz val="10"/>
        <rFont val="Bradesco Sans"/>
      </rPr>
      <t xml:space="preserve"> Strengthen the capacity of domestic financial institutions to encourage and expand access to banking, insurance and financial services for all.</t>
    </r>
  </si>
  <si>
    <r>
      <rPr>
        <sz val="10"/>
        <color rgb="FFC00000"/>
        <rFont val="Bradesco Sans"/>
      </rPr>
      <t>Target 9.3:</t>
    </r>
    <r>
      <rPr>
        <sz val="10"/>
        <rFont val="Bradesco Sans"/>
      </rPr>
      <t xml:space="preserve"> Increase the access of small-scale industrial and other enterprises, in particular in developing countries, to financial services, including affordable credit, and their integration into value chains and markets.</t>
    </r>
  </si>
  <si>
    <r>
      <rPr>
        <sz val="10"/>
        <color rgb="FFC00000"/>
        <rFont val="Bradesco Sans"/>
      </rPr>
      <t>Target 9.5:</t>
    </r>
    <r>
      <rPr>
        <sz val="10"/>
        <rFont val="Bradesco Sans"/>
      </rPr>
      <t xml:space="preserve">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r>
  </si>
  <si>
    <r>
      <rPr>
        <sz val="10"/>
        <color rgb="FFC00000"/>
        <rFont val="Bradesco Sans"/>
      </rPr>
      <t>Target 10.2:</t>
    </r>
    <r>
      <rPr>
        <sz val="10"/>
        <rFont val="Bradesco Sans"/>
      </rPr>
      <t xml:space="preserve"> By 2030, empower and promote the social, economic and political inclusion of all, irrespective of age, sex, disability, race, ethnicity, origin, religion or economic or other status.</t>
    </r>
  </si>
  <si>
    <r>
      <rPr>
        <sz val="10"/>
        <color rgb="FFC00000"/>
        <rFont val="Bradesco Sans"/>
      </rPr>
      <t>Target 10.4:</t>
    </r>
    <r>
      <rPr>
        <sz val="10"/>
        <rFont val="Bradesco Sans"/>
      </rPr>
      <t xml:space="preserve"> Adopt policies, especially fiscal, wage and social protection policies, and progressively achieve greater equality</t>
    </r>
  </si>
  <si>
    <r>
      <rPr>
        <sz val="10"/>
        <color rgb="FFC00000"/>
        <rFont val="Bradesco Sans"/>
      </rPr>
      <t>Target 10.5:</t>
    </r>
    <r>
      <rPr>
        <sz val="10"/>
        <rFont val="Bradesco Sans"/>
      </rPr>
      <t xml:space="preserve"> Improve the regulation and monitoring of global financial markets and institutions and strengthen the implementation of such regulations.</t>
    </r>
  </si>
  <si>
    <r>
      <rPr>
        <sz val="10"/>
        <color rgb="FFC00000"/>
        <rFont val="Bradesco Sans"/>
      </rPr>
      <t>Target 13.1:</t>
    </r>
    <r>
      <rPr>
        <sz val="10"/>
        <rFont val="Bradesco Sans"/>
      </rPr>
      <t xml:space="preserve"> Strengthen resilience and adaptive capacity to climate-related hazards and natural disasters in all countries.</t>
    </r>
  </si>
  <si>
    <r>
      <rPr>
        <sz val="10"/>
        <color rgb="FFC00000"/>
        <rFont val="Bradesco Sans"/>
      </rPr>
      <t>Target 13.2:</t>
    </r>
    <r>
      <rPr>
        <sz val="10"/>
        <rFont val="Bradesco Sans"/>
      </rPr>
      <t xml:space="preserve"> Integrate climate change measures into national policies, strategies and planning.</t>
    </r>
  </si>
  <si>
    <r>
      <rPr>
        <sz val="10"/>
        <color rgb="FFC00000"/>
        <rFont val="Bradesco Sans"/>
      </rPr>
      <t>Target 13.3:</t>
    </r>
    <r>
      <rPr>
        <sz val="10"/>
        <rFont val="Bradesco Sans"/>
      </rPr>
      <t xml:space="preserve"> Improve education, awareness-raising and human and institutional capacity on climate change mitigation, adaptation, impact reduction and early warning.</t>
    </r>
  </si>
  <si>
    <r>
      <rPr>
        <sz val="10"/>
        <color rgb="FFC00000"/>
        <rFont val="Bradesco Sans"/>
      </rPr>
      <t>Target 13b:</t>
    </r>
    <r>
      <rPr>
        <sz val="10"/>
        <rFont val="Bradesco Sans"/>
      </rPr>
      <t xml:space="preserve"> Promote mechanisms for raising capacity for effective climate change-related planning and management in least developed countries and small island developing States, including focusing on women, youth and local and marginalized communities.</t>
    </r>
  </si>
  <si>
    <t>Stakeholders Capitalism – Essential Metrics</t>
  </si>
  <si>
    <t>Sources</t>
  </si>
  <si>
    <t>Governance Principles</t>
  </si>
  <si>
    <t>Governing purpose</t>
  </si>
  <si>
    <r>
      <rPr>
        <b/>
        <sz val="10"/>
        <color theme="1" tint="0.249977111117893"/>
        <rFont val="Bradesco Sans"/>
        <scheme val="major"/>
      </rPr>
      <t>Purpose Definition</t>
    </r>
    <r>
      <rPr>
        <sz val="10"/>
        <color theme="1" tint="0.249977111117893"/>
        <rFont val="Bradesco Sans"/>
        <scheme val="major"/>
      </rPr>
      <t xml:space="preserve">
The company’s stated purpose, as the expression of the means by which a business proposes solutions to economic, environmental and social issues. Corporate purpose should create value for all stakeholders, including shareholders.</t>
    </r>
  </si>
  <si>
    <t>Quality of governing body</t>
  </si>
  <si>
    <r>
      <rPr>
        <b/>
        <sz val="10"/>
        <color theme="1" tint="0.249977111117893"/>
        <rFont val="Bradesco Sans"/>
        <scheme val="major"/>
      </rPr>
      <t>Governance Body Composition</t>
    </r>
    <r>
      <rPr>
        <sz val="10"/>
        <color theme="1" tint="0.249977111117893"/>
        <rFont val="Bradesco Sans"/>
        <scheme val="major"/>
      </rPr>
      <t xml:space="preserve">
Composition of the highest governance body and its committees by: competencies relating to economic, environmental and social topics; executive or non-executive; independence; tenure on the governance body; number of each individual’s other significant positions and commitments, and the nature of the commitments; gender; membership of under-represented social groups; skills related to economic, environmental and social issues; stakeholder representation.</t>
    </r>
  </si>
  <si>
    <t>Stakeholder engagement</t>
  </si>
  <si>
    <r>
      <rPr>
        <b/>
        <sz val="10"/>
        <color theme="1" tint="0.249977111117893"/>
        <rFont val="Bradesco Sans"/>
        <scheme val="major"/>
      </rPr>
      <t>Material issues impacting stakeholders</t>
    </r>
    <r>
      <rPr>
        <sz val="10"/>
        <color theme="1" tint="0.249977111117893"/>
        <rFont val="Bradesco Sans"/>
        <scheme val="major"/>
      </rPr>
      <t xml:space="preserve">
A list of the topics that are material to key stakeholders and the company, how the topics were identified and how the stakeholders were engaged.</t>
    </r>
  </si>
  <si>
    <t>Ethical
behaviour</t>
  </si>
  <si>
    <r>
      <rPr>
        <b/>
        <sz val="10"/>
        <color theme="1" tint="0.249977111117893"/>
        <rFont val="Bradesco Sans"/>
        <scheme val="major"/>
      </rPr>
      <t>Anti-corruption</t>
    </r>
    <r>
      <rPr>
        <sz val="10"/>
        <color theme="1" tint="0.249977111117893"/>
        <rFont val="Bradesco Sans"/>
        <scheme val="major"/>
      </rPr>
      <t xml:space="preserve">
1.	Total percentage of governance body members, employees and business partners who have received training on the organization’s anti-corruption policies and procedures, broken down by region. 
2.Total number and percentage of governance body members and employees who have received  training on corruption prevention, broken down by employee category and region.
3.Total number and nature of incidents of corruption.</t>
    </r>
  </si>
  <si>
    <r>
      <rPr>
        <b/>
        <sz val="10"/>
        <color theme="1" tint="0.249977111117893"/>
        <rFont val="Bradesco Sans"/>
        <scheme val="major"/>
      </rPr>
      <t>Protected ethics advice and reporting mechanisms</t>
    </r>
    <r>
      <rPr>
        <sz val="10"/>
        <color theme="1" tint="0.249977111117893"/>
        <rFont val="Bradesco Sans"/>
        <scheme val="major"/>
      </rPr>
      <t xml:space="preserve">
A description of internal and external mechanisms for:
1.	Seeking advice about ethical and lawful behaviour and organizational integrity; and
2.Reporting concerns about unethical or unlawful behaviour.</t>
    </r>
  </si>
  <si>
    <t>Risk and
opportunity
oversight</t>
  </si>
  <si>
    <r>
      <rPr>
        <b/>
        <sz val="10"/>
        <color theme="1" tint="0.249977111117893"/>
        <rFont val="Bradesco Sans"/>
        <scheme val="major"/>
      </rPr>
      <t>Integrating risk and opportunity into business process</t>
    </r>
    <r>
      <rPr>
        <sz val="10"/>
        <color theme="1" tint="0.249977111117893"/>
        <rFont val="Bradesco Sans"/>
        <scheme val="major"/>
      </rPr>
      <t xml:space="preserve">
Company risk factor and opportunity disclosures that clearly identify the principal material risks and opportunities facing the company specifically (as opposed to generic sector risks), the company appetite in respect of these risks, how these risks and opportunities have moved over time and the response to those changes. These opportunities and risks should integrate material economic, environmental and social issues, including climate change and data stewardship.</t>
    </r>
  </si>
  <si>
    <t>Planet</t>
  </si>
  <si>
    <t>Climate Change</t>
  </si>
  <si>
    <r>
      <rPr>
        <b/>
        <sz val="10"/>
        <color theme="1" tint="0.249977111117893"/>
        <rFont val="Bradesco Sans"/>
      </rPr>
      <t>Greenhouse gas (GHC) emissions</t>
    </r>
    <r>
      <rPr>
        <sz val="10"/>
        <color theme="1" tint="0.249977111117893"/>
        <rFont val="Bradesco Sans"/>
      </rPr>
      <t xml:space="preserve"> 
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t>
    </r>
  </si>
  <si>
    <r>
      <rPr>
        <b/>
        <sz val="10"/>
        <color theme="1" tint="0.249977111117893"/>
        <rFont val="Bradesco Sans"/>
      </rPr>
      <t>TCFD Implementation</t>
    </r>
    <r>
      <rPr>
        <sz val="10"/>
        <color theme="1" tint="0.249977111117893"/>
        <rFont val="Bradesco Sans"/>
      </rPr>
      <t xml:space="preserve">
Fully implement the recommendations of the Task Force on Climate-related Financial Disclosures (TCFD). 
Disclose  emissions targets that are in line with the goals of the Paris Agreement – to limit global warming to well below 2°C above preindustrial levels and pursue efforts to limit warming to 1.5°C – and to achieve net-zero emissions before 2050.</t>
    </r>
  </si>
  <si>
    <t xml:space="preserve">Dignity and
equality
 </t>
  </si>
  <si>
    <r>
      <rPr>
        <b/>
        <sz val="10"/>
        <color theme="1" tint="0.249977111117893"/>
        <rFont val="Bradesco Sans"/>
      </rPr>
      <t>Diversity</t>
    </r>
    <r>
      <rPr>
        <sz val="10"/>
        <color theme="1" tint="0.249977111117893"/>
        <rFont val="Bradesco Sans"/>
      </rPr>
      <t xml:space="preserve">
Percentage of employees per employee category, by age group, gender and ethnicity)</t>
    </r>
  </si>
  <si>
    <r>
      <rPr>
        <b/>
        <sz val="10"/>
        <color theme="1" tint="0.249977111117893"/>
        <rFont val="Bradesco Sans"/>
      </rPr>
      <t xml:space="preserve">Pay Equality
</t>
    </r>
    <r>
      <rPr>
        <sz val="10"/>
        <color theme="1" tint="0.249977111117893"/>
        <rFont val="Bradesco Sans"/>
      </rPr>
      <t>Ratio of the base salary and remuneration between women and men</t>
    </r>
  </si>
  <si>
    <r>
      <rPr>
        <b/>
        <sz val="10"/>
        <color theme="1" tint="0.249977111117893"/>
        <rFont val="Bradesco Sans"/>
      </rPr>
      <t>Wage Level</t>
    </r>
    <r>
      <rPr>
        <sz val="10"/>
        <color theme="1" tint="0.249977111117893"/>
        <rFont val="Bradesco Sans"/>
      </rPr>
      <t xml:space="preserve">
Ratio of the annual total compensation of the CEO to the median of the annual total compensation of all its employees, except the CEO.</t>
    </r>
  </si>
  <si>
    <r>
      <rPr>
        <b/>
        <sz val="10"/>
        <color theme="1" tint="0.249977111117893"/>
        <rFont val="Bradesco Sans"/>
      </rPr>
      <t xml:space="preserve">Risk for incidents of child, forced or compulsory labour
</t>
    </r>
    <r>
      <rPr>
        <sz val="10"/>
        <color theme="1" tint="0.249977111117893"/>
        <rFont val="Bradesco Sans"/>
      </rPr>
      <t>An explanation of the operations and suppliers considered to have significant risk for incidents of child labour, forced or compulsory labour. Such risks could emerge in relation to:
a)type of operation (such as manufacturing plant) and type ofsupplier; and
b)countries or geographic areas with operations and suppliers considered at risk.</t>
    </r>
  </si>
  <si>
    <t>Health and
well‑being</t>
  </si>
  <si>
    <r>
      <rPr>
        <b/>
        <sz val="10"/>
        <color theme="1" tint="0.249977111117893"/>
        <rFont val="Bradesco Sans"/>
      </rPr>
      <t>Health and safety</t>
    </r>
    <r>
      <rPr>
        <sz val="10"/>
        <color theme="1" tint="0.249977111117893"/>
        <rFont val="Bradesco Sans"/>
      </rPr>
      <t xml:space="preserve">
1.An explanation of how the organization facilitates workers’ access to non-occupational medical and healthcare services, and the scope of access provided for employees and workers
2.The number and rate of fatalities as a result of work-related injury; high-consequence work-related injuries (excluding fatalities); recordable work-related injuries; main types of work-related injury; and the number of hours worked.</t>
    </r>
  </si>
  <si>
    <t>Skills for the
future</t>
  </si>
  <si>
    <r>
      <rPr>
        <b/>
        <sz val="10"/>
        <color theme="1" tint="0.249977111117893"/>
        <rFont val="Bradesco Sans"/>
      </rPr>
      <t>Training provided</t>
    </r>
    <r>
      <rPr>
        <sz val="10"/>
        <color theme="1" tint="0.249977111117893"/>
        <rFont val="Bradesco Sans"/>
      </rPr>
      <t xml:space="preserve">
Average hours of training by gender and employee category</t>
    </r>
  </si>
  <si>
    <t>Prosperity</t>
  </si>
  <si>
    <t>Employment
and wealth
generation</t>
  </si>
  <si>
    <r>
      <rPr>
        <b/>
        <sz val="10"/>
        <color theme="1" tint="0.249977111117893"/>
        <rFont val="Bradesco Sans"/>
      </rPr>
      <t>New employees hires and turnover</t>
    </r>
    <r>
      <rPr>
        <sz val="10"/>
        <color theme="1" tint="0.249977111117893"/>
        <rFont val="Bradesco Sans"/>
      </rPr>
      <t xml:space="preserve">
1. Total number and rate of new employee hires during the reporting period, by age group, gender and region.
2. Total number and rate of employee turnover during the reporting period, by age group, gender and region.</t>
    </r>
  </si>
  <si>
    <r>
      <rPr>
        <b/>
        <sz val="10"/>
        <color theme="1" tint="0.249977111117893"/>
        <rFont val="Bradesco Sans"/>
      </rPr>
      <t>Economic contribution</t>
    </r>
    <r>
      <rPr>
        <sz val="10"/>
        <color theme="1" tint="0.249977111117893"/>
        <rFont val="Bradesco Sans"/>
      </rPr>
      <t xml:space="preserve">
1.Direct economic value generated and distributed (EVG&amp;D), on an accruals basis, covering the basic components for the organization’s global operations, split out by:
_Direct economic value generated: revenues;
_Distributed economic value: operating costs, employee wages and benefits, payments to providers of capital, payments to government (by country) and community investment;
_Retained economic value: “direct economic value generate” minus  “distributed economic value"
2.Financial assistance received from the government as benefits and tax credit, compensation, among others</t>
    </r>
  </si>
  <si>
    <r>
      <rPr>
        <b/>
        <sz val="10"/>
        <color theme="1" tint="0.249977111117893"/>
        <rFont val="Bradesco Sans"/>
      </rPr>
      <t xml:space="preserve">Financial investment contribution 
</t>
    </r>
    <r>
      <rPr>
        <sz val="10"/>
        <color theme="1" tint="0.249977111117893"/>
        <rFont val="Bradesco Sans"/>
      </rPr>
      <t>_Total capital expenditures (CapEx) minus depreciation, supported by narrative to describe the company’s investment strategy.
_Share buybacks plus dividend payments, supported by narrative to describe the company’s strategy for returns of capital to shareholders.</t>
    </r>
  </si>
  <si>
    <t>Community
and social
vitality</t>
  </si>
  <si>
    <r>
      <rPr>
        <b/>
        <sz val="10"/>
        <color theme="1" tint="0.249977111117893"/>
        <rFont val="Bradesco Sans"/>
      </rPr>
      <t>Total tax paid</t>
    </r>
    <r>
      <rPr>
        <sz val="10"/>
        <color theme="1" tint="0.249977111117893"/>
        <rFont val="Bradesco Sans"/>
      </rPr>
      <t xml:space="preserve">
The total global tax borne by the company, including corporate income taxes, property taxes, non-creditable VAT and other sales taxes, employer-paid payroll taxes, and other taxes that constitute costs to the company, by category of taxes.</t>
    </r>
  </si>
  <si>
    <t>· GRI 305-1, 305-2, 305-3
· TCFD (métricas e metas)
· GHG Protocol</t>
  </si>
  <si>
    <t>· Recommendations of the TCFD
· CDSB REQ-01, REQ-02, REQ-03, REQ-04, REQ-06
· Science Based Targets initiative (SBTi)</t>
  </si>
  <si>
    <t>· As referenced in IAS 7 and US GAAP ASC 230</t>
  </si>
  <si>
    <t>· Adapted from GRI 201-1</t>
  </si>
  <si>
    <t>· Purpose, p. 14
· Ethics, integrity and transparency, p. 66
· Human rights, p. 67
· Materiality, p. 5</t>
  </si>
  <si>
    <t>· Ethics, integrity and transparency, p. 128
· Human rights, p. 118</t>
  </si>
  <si>
    <t>· Corporate Governance, p. 18</t>
  </si>
  <si>
    <t>· Corporate Governance, p. 122</t>
  </si>
  <si>
    <t xml:space="preserve">· Materiality, p. 5
</t>
  </si>
  <si>
    <t>· Materiality, p. 5
· Approach to stakeholder engagement, p. 5</t>
  </si>
  <si>
    <t>· Ethics, integrity and transparency, p. 66
· Whistleblowing channels, p. 67</t>
  </si>
  <si>
    <t>· Integrity and Competition Compliance Programs, p. 129
· Whistleblowing channels, p. 130
· Training and raising awareness, p. 134</t>
  </si>
  <si>
    <t>· Whistleblowing channels, p. 67
· Corporate social responsibility, p. 54</t>
  </si>
  <si>
    <t>· Whistleblowing channels, p. 130
· Social responsibility, p. 67</t>
  </si>
  <si>
    <t>· Social, environmental and climate risks, p. 25
· Climate Risks, p. 35</t>
  </si>
  <si>
    <t xml:space="preserve">· Risk Management, p. 25
· Emerging Risks, p. 29
· Social, environmental and climate risks, p. 33
· Privacy and information security, p. 50
· Sustainable business, p. 44
· Climate agenda, p. 69
</t>
  </si>
  <si>
    <t>· Climate agenda, p. 69</t>
  </si>
  <si>
    <t>· Climate agenda, p. 32</t>
  </si>
  <si>
    <t>· Materiality, p. 5
· Sustainable business, p. 17
· Climate agenda, p. 32</t>
  </si>
  <si>
    <t>· Climate agenda, p. 69
· Operational emissions, p. 71</t>
  </si>
  <si>
    <t>· Metrics and targets, p. 36</t>
  </si>
  <si>
    <t xml:space="preserve">· Diversity on the board of directors, p. 21
· Diversity, equity and inclusion, p. 55
</t>
  </si>
  <si>
    <t>· Diversity at Bradesco, p. 55</t>
  </si>
  <si>
    <t>· Employee profile, p. 58
· Diversity, equity and inclusion, p. 77
· Table | Statutory, Employees and interns by gender (%), p. 80
· Table | Statutory, Employees and interns by color/ethnicity (%), p. 84
· Table | Statutory, Employees and interns with disabilities (%), p. 82
· Table | Statutory, Employees and interns by age group (%), p. 86</t>
  </si>
  <si>
    <t>· Table | Ratio of base salary between women and men, p. 80</t>
  </si>
  <si>
    <t>· Table | Proportion of total annual compensation, p. 127</t>
  </si>
  <si>
    <t>· Compensation, p. 24</t>
  </si>
  <si>
    <t xml:space="preserve">· Bradesco Most Sustainable Supplier, p. 63
</t>
  </si>
  <si>
    <t>· Table | New suppliers that were hired based
on social and environmental criteria, p. 108
· Table | Suppliers with potential and actual negative impacts, p. 109
· Table | Suppliers who could present significant human rights risks, p. 109</t>
  </si>
  <si>
    <t xml:space="preserve">· Health promotion, p. 54
</t>
  </si>
  <si>
    <r>
      <t>· Occupational health and safety, p. 69
· Table | Accidents at work, p. 70
· Table | Occupational disease, p. 70</t>
    </r>
    <r>
      <rPr>
        <sz val="10"/>
        <color rgb="FFFF0000"/>
        <rFont val="Bradesco Sans"/>
      </rPr>
      <t xml:space="preserve">
</t>
    </r>
    <r>
      <rPr>
        <sz val="10"/>
        <rFont val="Bradesco Sans"/>
      </rPr>
      <t>· Other benefits, p. 75</t>
    </r>
  </si>
  <si>
    <t xml:space="preserve">· Development and training, p. 53
</t>
  </si>
  <si>
    <t>· Graphic | Average hours by type of training, p. 62
· Table | Average training hours by functional category and by gender, p. 61</t>
  </si>
  <si>
    <t>· Talent attraction and retention, p. 52</t>
  </si>
  <si>
    <t>· Table | Hiring, p. 59
· Table | Internal movements by gender, p. 59
· ESG Indicators Worksheet 2024, Social.</t>
  </si>
  <si>
    <t>· Added value, p. 42
· Private social investment, p. 64</t>
  </si>
  <si>
    <r>
      <t xml:space="preserve">· Private Social Investment and volunteering in the Amazon biome, p. 42
· Private social investment, p. </t>
    </r>
    <r>
      <rPr>
        <sz val="10"/>
        <rFont val="Bradesco Sans"/>
      </rPr>
      <t>111</t>
    </r>
  </si>
  <si>
    <t>· Added value, p. 42
· Allocation of Dividends / Interest on Equity, p. 42</t>
  </si>
  <si>
    <t>· Distributed Economic Value, p. 42</t>
  </si>
  <si>
    <r>
      <t>· Financial Citizenship, p. 60</t>
    </r>
    <r>
      <rPr>
        <b/>
        <sz val="10"/>
        <rFont val="Bradesco Sans"/>
      </rPr>
      <t xml:space="preserve">
</t>
    </r>
    <r>
      <rPr>
        <sz val="10"/>
        <rFont val="Bradesco Sans"/>
      </rPr>
      <t>· Community, p. 64</t>
    </r>
  </si>
  <si>
    <t>· Human rights, p. 118
· Our people, p. 56
· Social responsibility, p. 67
· Diversity, equity and inclusion, p. 77</t>
  </si>
  <si>
    <t xml:space="preserve">· Human rights, p. 67
· Human Capital, p. 51
· Diversity, equity and inclusion, p. 55
· Corporate social responsibility, p. 54
· Voluntary commitments, p. 62
</t>
  </si>
  <si>
    <t xml:space="preserve">· Social, environmental and climate risks, p. 33
· Materiality, p. 5
· Sustainable business, p. 44
· Climate agenda, p. 69
· Voluntary commitments, p. 62
</t>
  </si>
  <si>
    <t xml:space="preserve">· Social, environmental and climate risks, p. 33
· Financial Citizenship, p. 60
· Talent attraction and retention, p. 52
· Diversity, equity and inclusion, p. 55
· Voluntary commitments, p. 62
· Community, p. 64
</t>
  </si>
  <si>
    <t>· Operations in the Amazon, p. 39
· Financial Citizenship, p. 92
· Community, p. 111</t>
  </si>
  <si>
    <t>· Human rights, p. 118
· Whistleblowing channels, p. 130
· Employee Experience, p. 66 
· Operations in the Amazon, p. 39
· Climate agenda, p. 32
· Suppliers, p. 106</t>
  </si>
  <si>
    <t>· Strategy, p. 16
· Value creation, p. 15
· Innovation and technology, p. 47
· inovabra, p. 49</t>
  </si>
  <si>
    <t>· Strategy, p. 12
· inovabra, p. 148
· Operations in the Amazon, p. 39</t>
  </si>
  <si>
    <t>· How we relate to stakeholders, p. 151
· Financial Citizenship, p. 92
· Employee profile, p. 58
· Diversity, equity and inclusion, p. 77
· Community, p. 111</t>
  </si>
  <si>
    <r>
      <t xml:space="preserve">The cases previously published as 'under investigation' from previous years have been concluded and are now categorized in the table according to the outcome of the analysis. </t>
    </r>
    <r>
      <rPr>
        <b/>
        <sz val="9"/>
        <color theme="1" tint="0.249977111117893"/>
        <rFont val="Bradesco Sans"/>
      </rPr>
      <t>GRI 2-4</t>
    </r>
  </si>
  <si>
    <t>Energy consumption outside of the organization</t>
  </si>
  <si>
    <t>Privacy and data protection</t>
  </si>
  <si>
    <t>Data privacy</t>
  </si>
  <si>
    <t>complaints regarding violations of customer privacy or compliance with standards on privacy of personal data</t>
  </si>
  <si>
    <t>Total volume of shares registered on the Voluntários Bradesco Portal</t>
  </si>
  <si>
    <t>Number of employees and interns who participated in at least one volunteering activity in the year</t>
  </si>
  <si>
    <t>Total volume of hours dedicated by employees and interns in actions registered on the Bradesco Volunteer Portal</t>
  </si>
  <si>
    <t>Total number of people benefiting from actions registered on the Bradesco Volunteer Portal</t>
  </si>
  <si>
    <r>
      <t xml:space="preserve">Until the previous year, the reported figure was calculated using, as the denominator, the total number of employees in the Organization, including interns and statutory personnel. As of this year, in order to enhance the accuracy of the indicator, the denominator has been revised to include only individuals within the functional category. </t>
    </r>
    <r>
      <rPr>
        <b/>
        <sz val="9"/>
        <color theme="1" tint="0.249977111117893"/>
        <rFont val="Bradesco Sans"/>
      </rPr>
      <t>GRI 2-4</t>
    </r>
  </si>
  <si>
    <t>· Value creation, p. 15
· Human rights, p. 67
· Whistleblowing channels, p. 67
· Social, environmental and climate risks, p. 33
· Financial Citizenship, p. 60
· Innovation and technology, p. 47
· Corporate social responsibility, p. 54
· Climate agenda, p. 69
· Voluntary commitments, p. 62
· Suppliers, p. 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</si>
</sst>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quot;R$&quot;\ * #,##0.00_-;\-&quot;R$&quot;\ * #,##0.00_-;_-&quot;R$&quot;\ * &quot;-&quot;??_-;_-@_-"/>
    <numFmt numFmtId="165" formatCode="_-* #,##0.00\ _€_-;\-* #,##0.00\ _€_-;_-* &quot;-&quot;??\ _€_-;_-@_-"/>
    <numFmt numFmtId="166" formatCode="_-* #,##0.0_-;\-* #,##0.0_-;_-* &quot;-&quot;??_-;_-@_-"/>
    <numFmt numFmtId="167" formatCode="_-* #,##0_-;\-* #,##0_-;_-* &quot;-&quot;??_-;_-@_-"/>
    <numFmt numFmtId="168" formatCode="#,##0.00_ ;\-#,##0.00\ "/>
  </numFmts>
  <fonts count="51">
    <font>
      <sz val="10"/>
      <color theme="1"/>
      <name val="Bradesco Sans"/>
      <family val="2"/>
    </font>
    <font>
      <sz val="11"/>
      <color theme="1"/>
      <name val="Bradesco Sans"/>
      <family val="2"/>
      <scheme val="minor"/>
    </font>
    <font>
      <sz val="10"/>
      <name val="Arial"/>
      <family val="2"/>
    </font>
    <font>
      <sz val="10"/>
      <color theme="1"/>
      <name val="Bradesco Sans"/>
      <family val="2"/>
    </font>
    <font>
      <sz val="10"/>
      <color theme="1"/>
      <name val="Bradesco Sans"/>
    </font>
    <font>
      <sz val="10"/>
      <name val="Bradesco Sans"/>
    </font>
    <font>
      <sz val="8"/>
      <name val="Bradesco Sans"/>
      <family val="2"/>
    </font>
    <font>
      <sz val="12"/>
      <color theme="0"/>
      <name val="Bradesco Sans SemiBold"/>
    </font>
    <font>
      <sz val="10"/>
      <color theme="1" tint="0.34998626667073579"/>
      <name val="Bradesco Sans"/>
      <family val="2"/>
    </font>
    <font>
      <sz val="10"/>
      <color rgb="FFC00000"/>
      <name val="Bradesco Sans"/>
    </font>
    <font>
      <b/>
      <sz val="14"/>
      <color rgb="FFC00000"/>
      <name val="Bradesco Sans"/>
    </font>
    <font>
      <sz val="10"/>
      <color rgb="FFC00000"/>
      <name val="Bradesco Sans SemiBold"/>
    </font>
    <font>
      <b/>
      <sz val="10"/>
      <name val="Bradesco Sans"/>
    </font>
    <font>
      <sz val="10"/>
      <color rgb="FFC00000"/>
      <name val="Bradesco Sans"/>
      <scheme val="major"/>
    </font>
    <font>
      <b/>
      <sz val="10"/>
      <color rgb="FFC00000"/>
      <name val="Bradesco Sans"/>
      <scheme val="major"/>
    </font>
    <font>
      <sz val="10"/>
      <name val="Bradesco Sans"/>
      <family val="2"/>
    </font>
    <font>
      <sz val="10"/>
      <color rgb="FF000000"/>
      <name val="Arial"/>
      <family val="2"/>
    </font>
    <font>
      <sz val="8"/>
      <color theme="1"/>
      <name val="Bradesco Sans"/>
      <family val="2"/>
    </font>
    <font>
      <sz val="10"/>
      <color theme="0"/>
      <name val="Bradesco Sans SemiBold"/>
    </font>
    <font>
      <b/>
      <sz val="12"/>
      <color theme="0"/>
      <name val="Montserrat"/>
    </font>
    <font>
      <sz val="12"/>
      <color theme="0"/>
      <name val="Montserrat"/>
    </font>
    <font>
      <sz val="10"/>
      <color theme="0"/>
      <name val="Arial"/>
      <family val="2"/>
    </font>
    <font>
      <sz val="11"/>
      <color theme="1" tint="0.249977111117893"/>
      <name val="Bradesco Sans"/>
    </font>
    <font>
      <b/>
      <sz val="9"/>
      <color theme="1" tint="0.249977111117893"/>
      <name val="Bradesco Sans"/>
    </font>
    <font>
      <b/>
      <vertAlign val="superscript"/>
      <sz val="9"/>
      <color theme="1" tint="0.249977111117893"/>
      <name val="Bradesco Sans"/>
    </font>
    <font>
      <sz val="10"/>
      <color theme="1" tint="0.249977111117893"/>
      <name val="Bradesco Sans"/>
    </font>
    <font>
      <sz val="8"/>
      <color theme="1" tint="0.249977111117893"/>
      <name val="Bradesco Sans"/>
    </font>
    <font>
      <sz val="10"/>
      <color theme="1" tint="0.249977111117893"/>
      <name val="Bradesco Sans"/>
      <family val="2"/>
    </font>
    <font>
      <i/>
      <sz val="10"/>
      <color theme="1" tint="0.249977111117893"/>
      <name val="Bradesco Sans Medium"/>
    </font>
    <font>
      <i/>
      <sz val="10"/>
      <color theme="1" tint="0.249977111117893"/>
      <name val="Bradesco Sans"/>
    </font>
    <font>
      <vertAlign val="subscript"/>
      <sz val="10"/>
      <color theme="1" tint="0.249977111117893"/>
      <name val="Bradesco Sans"/>
    </font>
    <font>
      <sz val="10"/>
      <color theme="1" tint="0.249977111117893"/>
      <name val="Bradesco Sans Medium"/>
    </font>
    <font>
      <sz val="10"/>
      <color theme="1" tint="0.249977111117893"/>
      <name val="Bradesco Sans"/>
      <scheme val="major"/>
    </font>
    <font>
      <sz val="9"/>
      <color theme="1" tint="0.249977111117893"/>
      <name val="Bradesco Sans"/>
    </font>
    <font>
      <b/>
      <sz val="13"/>
      <color theme="1" tint="0.249977111117893"/>
      <name val="Bradesco Sans"/>
    </font>
    <font>
      <b/>
      <sz val="10"/>
      <color theme="1" tint="0.249977111117893"/>
      <name val="Bradesco Sans"/>
    </font>
    <font>
      <i/>
      <sz val="9"/>
      <color theme="1" tint="0.249977111117893"/>
      <name val="Bradesco Sans Medium"/>
    </font>
    <font>
      <sz val="10"/>
      <color rgb="FFFF0000"/>
      <name val="Bradesco Sans"/>
    </font>
    <font>
      <sz val="9"/>
      <color theme="1"/>
      <name val="Bradesco Sans"/>
      <family val="2"/>
    </font>
    <font>
      <sz val="8"/>
      <color theme="1" tint="0.249977111117893"/>
      <name val="Bradesco Sans"/>
      <family val="2"/>
    </font>
    <font>
      <sz val="9"/>
      <color theme="1"/>
      <name val="Bradesco Sans"/>
    </font>
    <font>
      <sz val="9"/>
      <name val="Bradesco Sans"/>
      <scheme val="major"/>
    </font>
    <font>
      <sz val="10"/>
      <name val="Bradesco Sans Medium"/>
    </font>
    <font>
      <sz val="10"/>
      <color rgb="FFC00000"/>
      <name val="Bradesco Sans Medium"/>
    </font>
    <font>
      <b/>
      <sz val="10"/>
      <color theme="1" tint="0.249977111117893"/>
      <name val="Bradesco Sans"/>
      <scheme val="major"/>
    </font>
    <font>
      <b/>
      <sz val="11"/>
      <color theme="1" tint="0.249977111117893"/>
      <name val="Bradesco Sans"/>
    </font>
    <font>
      <sz val="9"/>
      <color theme="1" tint="0.249977111117893"/>
      <name val="Bradesco Sans"/>
      <scheme val="major"/>
    </font>
    <font>
      <sz val="9"/>
      <color theme="1" tint="0.249977111117893"/>
      <name val="Georgia"/>
      <family val="1"/>
    </font>
    <font>
      <sz val="8"/>
      <color theme="1" tint="0.249977111117893"/>
      <name val="Calibri"/>
      <family val="2"/>
    </font>
    <font>
      <b/>
      <sz val="11"/>
      <color theme="1" tint="0.249977111117893"/>
      <name val="Georgia"/>
      <family val="1"/>
    </font>
    <font>
      <sz val="11"/>
      <color theme="1" tint="0.249977111117893"/>
      <name val="Georgia"/>
      <family val="1"/>
    </font>
  </fonts>
  <fills count="6">
    <fill>
      <patternFill patternType="none"/>
    </fill>
    <fill>
      <patternFill patternType="gray125"/>
    </fill>
    <fill>
      <patternFill patternType="solid">
        <fgColor rgb="FFCC092F"/>
        <bgColor indexed="64"/>
      </patternFill>
    </fill>
    <fill>
      <patternFill patternType="solid">
        <fgColor rgb="FFC00000"/>
        <bgColor indexed="64"/>
      </patternFill>
    </fill>
    <fill>
      <patternFill patternType="solid">
        <fgColor theme="2" tint="-9.9978637043366805E-2"/>
        <bgColor indexed="64"/>
      </patternFill>
    </fill>
    <fill>
      <gradientFill degree="180">
        <stop position="0">
          <color rgb="FFA20000"/>
        </stop>
        <stop position="1">
          <color rgb="FFCC092F"/>
        </stop>
      </gradientFill>
    </fill>
  </fills>
  <borders count="106">
    <border>
      <left/>
      <right/>
      <top/>
      <bottom/>
      <diagonal/>
    </border>
    <border>
      <left style="hair">
        <color rgb="FFC00000"/>
      </left>
      <right style="hair">
        <color rgb="FFC00000"/>
      </right>
      <top style="hair">
        <color rgb="FFC00000"/>
      </top>
      <bottom style="hair">
        <color rgb="FFC00000"/>
      </bottom>
      <diagonal/>
    </border>
    <border>
      <left style="hair">
        <color rgb="FFC00000"/>
      </left>
      <right style="hair">
        <color rgb="FFC00000"/>
      </right>
      <top style="hair">
        <color rgb="FFC00000"/>
      </top>
      <bottom style="thin">
        <color rgb="FFC00000"/>
      </bottom>
      <diagonal/>
    </border>
    <border>
      <left style="hair">
        <color rgb="FFC00000"/>
      </left>
      <right style="hair">
        <color rgb="FFC00000"/>
      </right>
      <top style="thin">
        <color rgb="FFC00000"/>
      </top>
      <bottom style="hair">
        <color rgb="FFC00000"/>
      </bottom>
      <diagonal/>
    </border>
    <border>
      <left style="hair">
        <color rgb="FFC00000"/>
      </left>
      <right style="hair">
        <color rgb="FFC00000"/>
      </right>
      <top style="hair">
        <color rgb="FFC00000"/>
      </top>
      <bottom/>
      <diagonal/>
    </border>
    <border>
      <left style="hair">
        <color rgb="FFC00000"/>
      </left>
      <right style="hair">
        <color rgb="FFC00000"/>
      </right>
      <top/>
      <bottom/>
      <diagonal/>
    </border>
    <border>
      <left style="hair">
        <color rgb="FFC00000"/>
      </left>
      <right style="hair">
        <color rgb="FFC00000"/>
      </right>
      <top/>
      <bottom style="hair">
        <color rgb="FFC00000"/>
      </bottom>
      <diagonal/>
    </border>
    <border>
      <left style="hair">
        <color rgb="FFC00000"/>
      </left>
      <right style="hair">
        <color rgb="FFC00000"/>
      </right>
      <top style="thin">
        <color rgb="FFC00000"/>
      </top>
      <bottom/>
      <diagonal/>
    </border>
    <border>
      <left/>
      <right style="hair">
        <color rgb="FFC00000"/>
      </right>
      <top/>
      <bottom/>
      <diagonal/>
    </border>
    <border>
      <left style="hair">
        <color rgb="FFC00000"/>
      </left>
      <right style="hair">
        <color rgb="FFC00000"/>
      </right>
      <top/>
      <bottom style="medium">
        <color rgb="FFC00000"/>
      </bottom>
      <diagonal/>
    </border>
    <border>
      <left style="hair">
        <color rgb="FFC00000"/>
      </left>
      <right style="hair">
        <color rgb="FFC00000"/>
      </right>
      <top style="hair">
        <color rgb="FFC00000"/>
      </top>
      <bottom style="medium">
        <color rgb="FFC00000"/>
      </bottom>
      <diagonal/>
    </border>
    <border>
      <left/>
      <right/>
      <top/>
      <bottom style="medium">
        <color rgb="FFC00000"/>
      </bottom>
      <diagonal/>
    </border>
    <border>
      <left style="hair">
        <color rgb="FFC00000"/>
      </left>
      <right/>
      <top/>
      <bottom style="medium">
        <color rgb="FFC00000"/>
      </bottom>
      <diagonal/>
    </border>
    <border>
      <left style="hair">
        <color rgb="FFC00000"/>
      </left>
      <right style="hair">
        <color rgb="FFC00000"/>
      </right>
      <top style="medium">
        <color rgb="FFC00000"/>
      </top>
      <bottom/>
      <diagonal/>
    </border>
    <border>
      <left style="hair">
        <color rgb="FFC00000"/>
      </left>
      <right style="hair">
        <color rgb="FFC00000"/>
      </right>
      <top style="medium">
        <color rgb="FFC00000"/>
      </top>
      <bottom style="hair">
        <color rgb="FFC00000"/>
      </bottom>
      <diagonal/>
    </border>
    <border>
      <left/>
      <right/>
      <top style="medium">
        <color rgb="FFC00000"/>
      </top>
      <bottom/>
      <diagonal/>
    </border>
    <border>
      <left/>
      <right style="hair">
        <color rgb="FFC00000"/>
      </right>
      <top/>
      <bottom style="medium">
        <color rgb="FFC00000"/>
      </bottom>
      <diagonal/>
    </border>
    <border>
      <left/>
      <right style="hair">
        <color rgb="FFC00000"/>
      </right>
      <top style="medium">
        <color rgb="FFC00000"/>
      </top>
      <bottom style="hair">
        <color rgb="FFC00000"/>
      </bottom>
      <diagonal/>
    </border>
    <border>
      <left style="hair">
        <color rgb="FFC00000"/>
      </left>
      <right style="hair">
        <color rgb="FFC00000"/>
      </right>
      <top style="medium">
        <color rgb="FFC00000"/>
      </top>
      <bottom style="medium">
        <color rgb="FFC00000"/>
      </bottom>
      <diagonal/>
    </border>
    <border>
      <left/>
      <right/>
      <top style="medium">
        <color rgb="FFC00000"/>
      </top>
      <bottom style="medium">
        <color rgb="FFC00000"/>
      </bottom>
      <diagonal/>
    </border>
    <border>
      <left style="hair">
        <color rgb="FFC00000"/>
      </left>
      <right style="hair">
        <color rgb="FFC00000"/>
      </right>
      <top style="hair">
        <color rgb="FFC00000"/>
      </top>
      <bottom style="medium">
        <color rgb="FFCC092F"/>
      </bottom>
      <diagonal/>
    </border>
    <border>
      <left style="hair">
        <color rgb="FFC00000"/>
      </left>
      <right style="hair">
        <color rgb="FFC00000"/>
      </right>
      <top style="medium">
        <color rgb="FFCC092F"/>
      </top>
      <bottom style="hair">
        <color rgb="FFC00000"/>
      </bottom>
      <diagonal/>
    </border>
    <border>
      <left style="hair">
        <color rgb="FFC00000"/>
      </left>
      <right style="hair">
        <color rgb="FFC00000"/>
      </right>
      <top/>
      <bottom style="medium">
        <color rgb="FFCC092F"/>
      </bottom>
      <diagonal/>
    </border>
    <border>
      <left/>
      <right/>
      <top style="medium">
        <color rgb="FFC00000"/>
      </top>
      <bottom style="thin">
        <color theme="1" tint="0.34998626667073579"/>
      </bottom>
      <diagonal/>
    </border>
    <border>
      <left/>
      <right/>
      <top style="thin">
        <color theme="1" tint="0.34998626667073579"/>
      </top>
      <bottom/>
      <diagonal/>
    </border>
    <border>
      <left/>
      <right/>
      <top style="thin">
        <color theme="1" tint="0.34998626667073579"/>
      </top>
      <bottom style="thin">
        <color theme="1" tint="0.34998626667073579"/>
      </bottom>
      <diagonal/>
    </border>
    <border>
      <left/>
      <right/>
      <top style="thin">
        <color theme="1" tint="0.34998626667073579"/>
      </top>
      <bottom style="medium">
        <color rgb="FFC00000"/>
      </bottom>
      <diagonal/>
    </border>
    <border>
      <left/>
      <right/>
      <top style="thin">
        <color rgb="FFC00000"/>
      </top>
      <bottom style="thin">
        <color rgb="FFC00000"/>
      </bottom>
      <diagonal/>
    </border>
    <border>
      <left/>
      <right/>
      <top/>
      <bottom style="thin">
        <color theme="1" tint="0.499984740745262"/>
      </bottom>
      <diagonal/>
    </border>
    <border>
      <left/>
      <right/>
      <top style="thin">
        <color theme="1" tint="0.499984740745262"/>
      </top>
      <bottom style="thin">
        <color theme="1" tint="0.499984740745262"/>
      </bottom>
      <diagonal/>
    </border>
    <border>
      <left/>
      <right/>
      <top style="thin">
        <color theme="1" tint="0.499984740745262"/>
      </top>
      <bottom style="thin">
        <color rgb="FFC00000"/>
      </bottom>
      <diagonal/>
    </border>
    <border>
      <left style="medium">
        <color rgb="FFC00000"/>
      </left>
      <right style="hair">
        <color rgb="FFC00000"/>
      </right>
      <top style="medium">
        <color rgb="FFC00000"/>
      </top>
      <bottom/>
      <diagonal/>
    </border>
    <border>
      <left style="hair">
        <color rgb="FFC00000"/>
      </left>
      <right style="medium">
        <color rgb="FFC00000"/>
      </right>
      <top style="medium">
        <color rgb="FFC00000"/>
      </top>
      <bottom/>
      <diagonal/>
    </border>
    <border>
      <left style="hair">
        <color rgb="FFC00000"/>
      </left>
      <right style="medium">
        <color rgb="FFC00000"/>
      </right>
      <top/>
      <bottom style="hair">
        <color rgb="FFC00000"/>
      </bottom>
      <diagonal/>
    </border>
    <border>
      <left style="hair">
        <color rgb="FFC00000"/>
      </left>
      <right style="medium">
        <color rgb="FFC00000"/>
      </right>
      <top style="hair">
        <color rgb="FFC00000"/>
      </top>
      <bottom style="hair">
        <color rgb="FFC00000"/>
      </bottom>
      <diagonal/>
    </border>
    <border>
      <left style="hair">
        <color rgb="FFC00000"/>
      </left>
      <right style="medium">
        <color rgb="FFC00000"/>
      </right>
      <top style="hair">
        <color rgb="FFC00000"/>
      </top>
      <bottom style="medium">
        <color rgb="FFC00000"/>
      </bottom>
      <diagonal/>
    </border>
    <border>
      <left style="hair">
        <color rgb="FFC00000"/>
      </left>
      <right style="medium">
        <color rgb="FFC00000"/>
      </right>
      <top style="medium">
        <color rgb="FFC00000"/>
      </top>
      <bottom style="hair">
        <color rgb="FFC00000"/>
      </bottom>
      <diagonal/>
    </border>
    <border>
      <left style="hair">
        <color rgb="FFC00000"/>
      </left>
      <right style="medium">
        <color rgb="FFC00000"/>
      </right>
      <top style="medium">
        <color rgb="FFCC092F"/>
      </top>
      <bottom style="hair">
        <color rgb="FFC00000"/>
      </bottom>
      <diagonal/>
    </border>
    <border>
      <left style="hair">
        <color rgb="FFC00000"/>
      </left>
      <right style="medium">
        <color rgb="FFC00000"/>
      </right>
      <top/>
      <bottom/>
      <diagonal/>
    </border>
    <border>
      <left style="hair">
        <color rgb="FFC00000"/>
      </left>
      <right style="medium">
        <color rgb="FFC00000"/>
      </right>
      <top style="hair">
        <color rgb="FFC00000"/>
      </top>
      <bottom style="thin">
        <color rgb="FFC00000"/>
      </bottom>
      <diagonal/>
    </border>
    <border>
      <left style="hair">
        <color rgb="FFC00000"/>
      </left>
      <right style="medium">
        <color rgb="FFC00000"/>
      </right>
      <top/>
      <bottom style="medium">
        <color rgb="FFC00000"/>
      </bottom>
      <diagonal/>
    </border>
    <border>
      <left style="hair">
        <color rgb="FFC00000"/>
      </left>
      <right style="medium">
        <color rgb="FFC00000"/>
      </right>
      <top style="thin">
        <color rgb="FFC00000"/>
      </top>
      <bottom style="thin">
        <color rgb="FFC00000"/>
      </bottom>
      <diagonal/>
    </border>
    <border>
      <left style="hair">
        <color rgb="FFC00000"/>
      </left>
      <right style="hair">
        <color rgb="FFC00000"/>
      </right>
      <top style="thin">
        <color rgb="FFC00000"/>
      </top>
      <bottom style="thin">
        <color rgb="FFC00000"/>
      </bottom>
      <diagonal/>
    </border>
    <border>
      <left style="hair">
        <color rgb="FFC00000"/>
      </left>
      <right style="medium">
        <color rgb="FFC00000"/>
      </right>
      <top style="medium">
        <color rgb="FFC00000"/>
      </top>
      <bottom style="medium">
        <color rgb="FFC00000"/>
      </bottom>
      <diagonal/>
    </border>
    <border>
      <left style="hair">
        <color rgb="FFC00000"/>
      </left>
      <right style="hair">
        <color rgb="FFC00000"/>
      </right>
      <top/>
      <bottom style="thin">
        <color rgb="FFC00000"/>
      </bottom>
      <diagonal/>
    </border>
    <border>
      <left style="hair">
        <color rgb="FFC00000"/>
      </left>
      <right style="medium">
        <color rgb="FFC00000"/>
      </right>
      <top/>
      <bottom style="thin">
        <color rgb="FFC00000"/>
      </bottom>
      <diagonal/>
    </border>
    <border>
      <left style="hair">
        <color rgb="FFC00000"/>
      </left>
      <right style="medium">
        <color rgb="FFC00000"/>
      </right>
      <top style="thin">
        <color rgb="FFC00000"/>
      </top>
      <bottom style="medium">
        <color rgb="FFC00000"/>
      </bottom>
      <diagonal/>
    </border>
    <border>
      <left style="hair">
        <color rgb="FFC00000"/>
      </left>
      <right style="hair">
        <color rgb="FFC00000"/>
      </right>
      <top style="thin">
        <color rgb="FFC00000"/>
      </top>
      <bottom style="medium">
        <color rgb="FFC00000"/>
      </bottom>
      <diagonal/>
    </border>
    <border>
      <left style="medium">
        <color rgb="FFC00000"/>
      </left>
      <right/>
      <top style="medium">
        <color rgb="FFC00000"/>
      </top>
      <bottom/>
      <diagonal/>
    </border>
    <border>
      <left style="medium">
        <color rgb="FFC00000"/>
      </left>
      <right style="hair">
        <color rgb="FFC00000"/>
      </right>
      <top/>
      <bottom style="thin">
        <color indexed="64"/>
      </bottom>
      <diagonal/>
    </border>
    <border>
      <left style="medium">
        <color rgb="FFC00000"/>
      </left>
      <right style="hair">
        <color rgb="FFC00000"/>
      </right>
      <top style="thin">
        <color indexed="64"/>
      </top>
      <bottom style="thin">
        <color indexed="64"/>
      </bottom>
      <diagonal/>
    </border>
    <border>
      <left style="medium">
        <color rgb="FFC00000"/>
      </left>
      <right style="hair">
        <color rgb="FFC00000"/>
      </right>
      <top style="thin">
        <color indexed="64"/>
      </top>
      <bottom style="medium">
        <color rgb="FFC00000"/>
      </bottom>
      <diagonal/>
    </border>
    <border>
      <left style="hair">
        <color rgb="FFC00000"/>
      </left>
      <right style="medium">
        <color rgb="FFC00000"/>
      </right>
      <top style="thin">
        <color rgb="FFC00000"/>
      </top>
      <bottom style="hair">
        <color rgb="FFC00000"/>
      </bottom>
      <diagonal/>
    </border>
    <border>
      <left style="hair">
        <color rgb="FFC00000"/>
      </left>
      <right style="medium">
        <color rgb="FFC00000"/>
      </right>
      <top style="thin">
        <color rgb="FFC00000"/>
      </top>
      <bottom/>
      <diagonal/>
    </border>
    <border>
      <left style="hair">
        <color rgb="FFC00000"/>
      </left>
      <right style="hair">
        <color rgb="FFC00000"/>
      </right>
      <top style="medium">
        <color rgb="FFCC092F"/>
      </top>
      <bottom/>
      <diagonal/>
    </border>
    <border>
      <left style="hair">
        <color rgb="FFC00000"/>
      </left>
      <right style="medium">
        <color rgb="FFC00000"/>
      </right>
      <top style="medium">
        <color rgb="FFC00000"/>
      </top>
      <bottom style="thin">
        <color rgb="FFC00000"/>
      </bottom>
      <diagonal/>
    </border>
    <border>
      <left style="medium">
        <color rgb="FFC00000"/>
      </left>
      <right style="hair">
        <color rgb="FFC00000"/>
      </right>
      <top/>
      <bottom/>
      <diagonal/>
    </border>
    <border>
      <left style="medium">
        <color rgb="FFC00000"/>
      </left>
      <right style="hair">
        <color rgb="FFC00000"/>
      </right>
      <top/>
      <bottom style="medium">
        <color rgb="FFC00000"/>
      </bottom>
      <diagonal/>
    </border>
    <border>
      <left style="medium">
        <color rgb="FFC00000"/>
      </left>
      <right/>
      <top/>
      <bottom/>
      <diagonal/>
    </border>
    <border>
      <left style="medium">
        <color rgb="FFC00000"/>
      </left>
      <right/>
      <top/>
      <bottom style="medium">
        <color rgb="FFCC092F"/>
      </bottom>
      <diagonal/>
    </border>
    <border>
      <left style="medium">
        <color rgb="FFC00000"/>
      </left>
      <right/>
      <top/>
      <bottom style="medium">
        <color rgb="FFC00000"/>
      </bottom>
      <diagonal/>
    </border>
    <border>
      <left style="hair">
        <color rgb="FFC00000"/>
      </left>
      <right style="hair">
        <color rgb="FFC00000"/>
      </right>
      <top style="medium">
        <color rgb="FFC00000"/>
      </top>
      <bottom style="thin">
        <color rgb="FFC00000"/>
      </bottom>
      <diagonal/>
    </border>
    <border>
      <left style="hair">
        <color rgb="FFC00000"/>
      </left>
      <right style="medium">
        <color rgb="FFC00000"/>
      </right>
      <top style="medium">
        <color rgb="FFCC092F"/>
      </top>
      <bottom/>
      <diagonal/>
    </border>
    <border>
      <left style="hair">
        <color rgb="FFC00000"/>
      </left>
      <right style="medium">
        <color rgb="FFC00000"/>
      </right>
      <top/>
      <bottom style="medium">
        <color rgb="FFCC092F"/>
      </bottom>
      <diagonal/>
    </border>
    <border>
      <left style="hair">
        <color rgb="FFC00000"/>
      </left>
      <right style="medium">
        <color rgb="FFC00000"/>
      </right>
      <top style="hair">
        <color rgb="FFC00000"/>
      </top>
      <bottom/>
      <diagonal/>
    </border>
    <border>
      <left style="hair">
        <color rgb="FFC00000"/>
      </left>
      <right/>
      <top/>
      <bottom style="thin">
        <color rgb="FFC00000"/>
      </bottom>
      <diagonal/>
    </border>
    <border>
      <left style="hair">
        <color rgb="FFC00000"/>
      </left>
      <right/>
      <top style="hair">
        <color rgb="FFC00000"/>
      </top>
      <bottom style="hair">
        <color rgb="FFC00000"/>
      </bottom>
      <diagonal/>
    </border>
    <border>
      <left style="hair">
        <color rgb="FFC00000"/>
      </left>
      <right/>
      <top style="medium">
        <color rgb="FFC00000"/>
      </top>
      <bottom style="thin">
        <color rgb="FFC00000"/>
      </bottom>
      <diagonal/>
    </border>
    <border>
      <left style="hair">
        <color rgb="FFC00000"/>
      </left>
      <right/>
      <top/>
      <bottom style="medium">
        <color rgb="FFCC092F"/>
      </bottom>
      <diagonal/>
    </border>
    <border>
      <left style="hair">
        <color rgb="FFC00000"/>
      </left>
      <right/>
      <top style="medium">
        <color rgb="FFCC092F"/>
      </top>
      <bottom style="hair">
        <color rgb="FFC00000"/>
      </bottom>
      <diagonal/>
    </border>
    <border>
      <left style="hair">
        <color rgb="FFC00000"/>
      </left>
      <right/>
      <top style="hair">
        <color rgb="FFC00000"/>
      </top>
      <bottom style="medium">
        <color rgb="FFCC092F"/>
      </bottom>
      <diagonal/>
    </border>
    <border>
      <left style="hair">
        <color rgb="FFC00000"/>
      </left>
      <right/>
      <top style="thin">
        <color rgb="FFC00000"/>
      </top>
      <bottom/>
      <diagonal/>
    </border>
    <border>
      <left style="hair">
        <color rgb="FFC00000"/>
      </left>
      <right/>
      <top/>
      <bottom/>
      <diagonal/>
    </border>
    <border>
      <left/>
      <right style="hair">
        <color rgb="FFC00000"/>
      </right>
      <top style="hair">
        <color rgb="FFC00000"/>
      </top>
      <bottom/>
      <diagonal/>
    </border>
    <border>
      <left style="hair">
        <color rgb="FFC00000"/>
      </left>
      <right style="dotted">
        <color rgb="FFC00000"/>
      </right>
      <top/>
      <bottom/>
      <diagonal/>
    </border>
    <border>
      <left style="dotted">
        <color rgb="FFC00000"/>
      </left>
      <right style="medium">
        <color rgb="FFC00000"/>
      </right>
      <top/>
      <bottom/>
      <diagonal/>
    </border>
    <border>
      <left style="hair">
        <color rgb="FFC00000"/>
      </left>
      <right style="dotted">
        <color rgb="FFC00000"/>
      </right>
      <top/>
      <bottom style="medium">
        <color rgb="FFC00000"/>
      </bottom>
      <diagonal/>
    </border>
    <border>
      <left style="dotted">
        <color rgb="FFC00000"/>
      </left>
      <right style="medium">
        <color rgb="FFC00000"/>
      </right>
      <top/>
      <bottom style="medium">
        <color rgb="FFC00000"/>
      </bottom>
      <diagonal/>
    </border>
    <border>
      <left style="hair">
        <color rgb="FFC00000"/>
      </left>
      <right style="dotted">
        <color rgb="FFC00000"/>
      </right>
      <top style="medium">
        <color rgb="FFC00000"/>
      </top>
      <bottom/>
      <diagonal/>
    </border>
    <border>
      <left style="dotted">
        <color rgb="FFC00000"/>
      </left>
      <right style="medium">
        <color rgb="FFC00000"/>
      </right>
      <top style="medium">
        <color rgb="FFC00000"/>
      </top>
      <bottom/>
      <diagonal/>
    </border>
    <border>
      <left style="hair">
        <color rgb="FFC00000"/>
      </left>
      <right style="dotted">
        <color rgb="FFC00000"/>
      </right>
      <top style="medium">
        <color rgb="FFCC092F"/>
      </top>
      <bottom/>
      <diagonal/>
    </border>
    <border>
      <left style="dotted">
        <color rgb="FFC00000"/>
      </left>
      <right style="medium">
        <color rgb="FFC00000"/>
      </right>
      <top style="medium">
        <color rgb="FFCC092F"/>
      </top>
      <bottom/>
      <diagonal/>
    </border>
    <border>
      <left style="hair">
        <color rgb="FFC00000"/>
      </left>
      <right style="dotted">
        <color rgb="FFC00000"/>
      </right>
      <top style="medium">
        <color rgb="FFC00000"/>
      </top>
      <bottom style="medium">
        <color rgb="FFC00000"/>
      </bottom>
      <diagonal/>
    </border>
    <border>
      <left style="dotted">
        <color rgb="FFC00000"/>
      </left>
      <right style="medium">
        <color rgb="FFC00000"/>
      </right>
      <top style="medium">
        <color rgb="FFC00000"/>
      </top>
      <bottom style="medium">
        <color rgb="FFC00000"/>
      </bottom>
      <diagonal/>
    </border>
    <border>
      <left style="hair">
        <color rgb="FFC00000"/>
      </left>
      <right/>
      <top style="hair">
        <color rgb="FFC00000"/>
      </top>
      <bottom/>
      <diagonal/>
    </border>
    <border>
      <left/>
      <right/>
      <top style="hair">
        <color rgb="FFC00000"/>
      </top>
      <bottom/>
      <diagonal/>
    </border>
    <border>
      <left style="medium">
        <color rgb="FFC00000"/>
      </left>
      <right style="hair">
        <color rgb="FFC00000"/>
      </right>
      <top style="hair">
        <color rgb="FFC00000"/>
      </top>
      <bottom style="hair">
        <color rgb="FFC00000"/>
      </bottom>
      <diagonal/>
    </border>
    <border>
      <left style="medium">
        <color rgb="FFC00000"/>
      </left>
      <right style="hair">
        <color rgb="FFC00000"/>
      </right>
      <top style="hair">
        <color rgb="FFC00000"/>
      </top>
      <bottom style="medium">
        <color rgb="FFC00000"/>
      </bottom>
      <diagonal/>
    </border>
    <border>
      <left style="medium">
        <color rgb="FFC00000"/>
      </left>
      <right style="hair">
        <color rgb="FFC00000"/>
      </right>
      <top/>
      <bottom style="hair">
        <color rgb="FFC00000"/>
      </bottom>
      <diagonal/>
    </border>
    <border>
      <left style="medium">
        <color rgb="FFC00000"/>
      </left>
      <right style="hair">
        <color rgb="FFC00000"/>
      </right>
      <top style="medium">
        <color rgb="FFC00000"/>
      </top>
      <bottom style="medium">
        <color rgb="FFC00000"/>
      </bottom>
      <diagonal/>
    </border>
    <border>
      <left/>
      <right style="thin">
        <color indexed="64"/>
      </right>
      <top style="medium">
        <color rgb="FFC00000"/>
      </top>
      <bottom/>
      <diagonal/>
    </border>
    <border>
      <left style="thin">
        <color indexed="64"/>
      </left>
      <right style="thin">
        <color indexed="64"/>
      </right>
      <top style="medium">
        <color rgb="FFC00000"/>
      </top>
      <bottom/>
      <diagonal/>
    </border>
    <border>
      <left style="thin">
        <color indexed="64"/>
      </left>
      <right/>
      <top style="medium">
        <color rgb="FFC00000"/>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thin">
        <color rgb="FFC00000"/>
      </bottom>
      <diagonal/>
    </border>
    <border>
      <left style="medium">
        <color rgb="FFC00000"/>
      </left>
      <right/>
      <top style="medium">
        <color rgb="FFC00000"/>
      </top>
      <bottom style="medium">
        <color rgb="FFC00000"/>
      </bottom>
      <diagonal/>
    </border>
    <border>
      <left/>
      <right style="medium">
        <color rgb="FFC00000"/>
      </right>
      <top style="medium">
        <color rgb="FFC00000"/>
      </top>
      <bottom style="medium">
        <color rgb="FFC00000"/>
      </bottom>
      <diagonal/>
    </border>
    <border>
      <left style="hair">
        <color rgb="FFC00000"/>
      </left>
      <right/>
      <top style="medium">
        <color rgb="FFC00000"/>
      </top>
      <bottom style="medium">
        <color rgb="FFC00000"/>
      </bottom>
      <diagonal/>
    </border>
    <border>
      <left style="hair">
        <color rgb="FFC00000"/>
      </left>
      <right/>
      <top style="medium">
        <color rgb="FFC00000"/>
      </top>
      <bottom/>
      <diagonal/>
    </border>
    <border>
      <left/>
      <right style="hair">
        <color rgb="FFC00000"/>
      </right>
      <top style="medium">
        <color rgb="FFC00000"/>
      </top>
      <bottom/>
      <diagonal/>
    </border>
    <border>
      <left/>
      <right style="hair">
        <color rgb="FFC00000"/>
      </right>
      <top style="medium">
        <color rgb="FFC00000"/>
      </top>
      <bottom style="medium">
        <color rgb="FFC00000"/>
      </bottom>
      <diagonal/>
    </border>
    <border>
      <left style="hair">
        <color rgb="FFC00000"/>
      </left>
      <right style="hair">
        <color rgb="FFC00000"/>
      </right>
      <top style="thin">
        <color rgb="FFC00000"/>
      </top>
      <bottom style="dotted">
        <color rgb="FFC00000"/>
      </bottom>
      <diagonal/>
    </border>
    <border>
      <left style="hair">
        <color rgb="FFC00000"/>
      </left>
      <right style="hair">
        <color rgb="FFC00000"/>
      </right>
      <top style="dotted">
        <color rgb="FFC00000"/>
      </top>
      <bottom style="dotted">
        <color rgb="FFC00000"/>
      </bottom>
      <diagonal/>
    </border>
    <border>
      <left style="hair">
        <color rgb="FFC00000"/>
      </left>
      <right style="hair">
        <color rgb="FFC00000"/>
      </right>
      <top style="dotted">
        <color rgb="FFC00000"/>
      </top>
      <bottom style="medium">
        <color rgb="FFC00000"/>
      </bottom>
      <diagonal/>
    </border>
  </borders>
  <cellStyleXfs count="23">
    <xf numFmtId="0" fontId="0" fillId="0" borderId="0"/>
    <xf numFmtId="0" fontId="1" fillId="0" borderId="0"/>
    <xf numFmtId="9" fontId="1" fillId="0" borderId="0" applyFont="0" applyFill="0" applyBorder="0" applyAlignment="0" applyProtection="0"/>
    <xf numFmtId="0" fontId="2" fillId="0" borderId="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6"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43" fontId="16"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cellStyleXfs>
  <cellXfs count="718">
    <xf numFmtId="0" fontId="0" fillId="0" borderId="0" xfId="0"/>
    <xf numFmtId="0" fontId="0" fillId="0" borderId="0" xfId="0" applyAlignment="1">
      <alignment horizontal="left" vertical="center"/>
    </xf>
    <xf numFmtId="0" fontId="4" fillId="0" borderId="0" xfId="0" applyFont="1" applyAlignment="1">
      <alignment vertical="center"/>
    </xf>
    <xf numFmtId="0" fontId="4" fillId="0" borderId="0" xfId="0" applyFont="1" applyAlignment="1">
      <alignment horizontal="center" vertical="center"/>
    </xf>
    <xf numFmtId="0" fontId="0" fillId="0" borderId="0" xfId="0" applyAlignment="1">
      <alignment wrapText="1"/>
    </xf>
    <xf numFmtId="0" fontId="0" fillId="0" borderId="0" xfId="0" applyAlignment="1">
      <alignment horizontal="center" vertical="center"/>
    </xf>
    <xf numFmtId="0" fontId="0" fillId="0" borderId="0" xfId="0" applyAlignment="1">
      <alignment vertical="top"/>
    </xf>
    <xf numFmtId="0" fontId="0" fillId="0" borderId="0" xfId="0" applyAlignment="1">
      <alignment vertical="top" wrapText="1"/>
    </xf>
    <xf numFmtId="0" fontId="0" fillId="0" borderId="0" xfId="0" applyAlignment="1">
      <alignment vertical="center" wrapText="1"/>
    </xf>
    <xf numFmtId="0" fontId="5" fillId="0" borderId="24" xfId="0" applyFont="1" applyBorder="1" applyAlignment="1">
      <alignment vertical="top" wrapText="1"/>
    </xf>
    <xf numFmtId="0" fontId="5" fillId="0" borderId="23" xfId="0" applyFont="1" applyBorder="1" applyAlignment="1">
      <alignment vertical="top" wrapText="1"/>
    </xf>
    <xf numFmtId="0" fontId="5" fillId="0" borderId="25" xfId="0" applyFont="1" applyBorder="1" applyAlignment="1">
      <alignment vertical="top" wrapText="1"/>
    </xf>
    <xf numFmtId="0" fontId="5" fillId="0" borderId="26" xfId="0" applyFont="1" applyBorder="1" applyAlignment="1">
      <alignment vertical="top" wrapText="1"/>
    </xf>
    <xf numFmtId="0" fontId="11" fillId="0" borderId="30" xfId="0" applyFont="1" applyBorder="1" applyAlignment="1">
      <alignment vertical="top" wrapText="1"/>
    </xf>
    <xf numFmtId="0" fontId="0" fillId="0" borderId="0" xfId="0" applyAlignment="1">
      <alignment vertical="center"/>
    </xf>
    <xf numFmtId="0" fontId="4" fillId="0" borderId="0" xfId="0" applyFont="1" applyBorder="1" applyAlignment="1">
      <alignment vertical="center"/>
    </xf>
    <xf numFmtId="0" fontId="0" fillId="0" borderId="0" xfId="0" applyBorder="1" applyAlignment="1">
      <alignment vertical="center"/>
    </xf>
    <xf numFmtId="0" fontId="17" fillId="0" borderId="0" xfId="0" applyFont="1" applyAlignment="1">
      <alignment vertical="center" wrapText="1"/>
    </xf>
    <xf numFmtId="0" fontId="0" fillId="0" borderId="0" xfId="0" applyAlignment="1">
      <alignment horizontal="left" vertical="center" indent="1"/>
    </xf>
    <xf numFmtId="0" fontId="0" fillId="0" borderId="11" xfId="0" applyBorder="1" applyAlignment="1">
      <alignment horizontal="center" vertical="center"/>
    </xf>
    <xf numFmtId="0" fontId="7" fillId="5" borderId="98" xfId="0" applyFont="1" applyFill="1" applyBorder="1" applyAlignment="1">
      <alignment horizontal="center" vertical="center" wrapText="1"/>
    </xf>
    <xf numFmtId="0" fontId="7" fillId="2" borderId="89" xfId="0" applyFont="1" applyFill="1" applyBorder="1" applyAlignment="1">
      <alignment horizontal="left" vertical="center" indent="1"/>
    </xf>
    <xf numFmtId="0" fontId="7" fillId="2" borderId="18" xfId="0" applyFont="1" applyFill="1" applyBorder="1" applyAlignment="1">
      <alignment horizontal="left" vertical="center" indent="1"/>
    </xf>
    <xf numFmtId="0" fontId="7" fillId="2" borderId="18" xfId="0" applyFont="1" applyFill="1" applyBorder="1" applyAlignment="1">
      <alignment horizontal="center" vertical="center"/>
    </xf>
    <xf numFmtId="0" fontId="7" fillId="2" borderId="99" xfId="0" applyFont="1" applyFill="1" applyBorder="1" applyAlignment="1">
      <alignment horizontal="center" vertical="center"/>
    </xf>
    <xf numFmtId="0" fontId="7" fillId="2" borderId="43" xfId="0" applyFont="1" applyFill="1" applyBorder="1" applyAlignment="1">
      <alignment horizontal="center" vertical="center"/>
    </xf>
    <xf numFmtId="0" fontId="7" fillId="3" borderId="19" xfId="0" applyFont="1" applyFill="1" applyBorder="1" applyAlignment="1">
      <alignment horizontal="center" vertical="center" wrapText="1"/>
    </xf>
    <xf numFmtId="0" fontId="22" fillId="0" borderId="89" xfId="0" applyFont="1" applyBorder="1" applyAlignment="1">
      <alignment vertical="center"/>
    </xf>
    <xf numFmtId="0" fontId="23" fillId="0" borderId="18" xfId="0" applyFont="1" applyBorder="1" applyAlignment="1">
      <alignment horizontal="center" vertical="center"/>
    </xf>
    <xf numFmtId="0" fontId="23" fillId="0" borderId="43" xfId="0" applyFont="1" applyBorder="1" applyAlignment="1">
      <alignment horizontal="center" vertical="center" wrapText="1"/>
    </xf>
    <xf numFmtId="3" fontId="25" fillId="0" borderId="6" xfId="0" applyNumberFormat="1" applyFont="1" applyBorder="1" applyAlignment="1">
      <alignment horizontal="right" vertical="center"/>
    </xf>
    <xf numFmtId="3" fontId="25" fillId="0" borderId="33" xfId="0" applyNumberFormat="1" applyFont="1" applyBorder="1" applyAlignment="1">
      <alignment horizontal="right" vertical="center"/>
    </xf>
    <xf numFmtId="3" fontId="25" fillId="0" borderId="1" xfId="0" applyNumberFormat="1" applyFont="1" applyBorder="1" applyAlignment="1">
      <alignment horizontal="right" vertical="center"/>
    </xf>
    <xf numFmtId="0" fontId="25" fillId="0" borderId="1" xfId="0" applyFont="1" applyBorder="1" applyAlignment="1">
      <alignment horizontal="right" vertical="center"/>
    </xf>
    <xf numFmtId="1" fontId="25" fillId="0" borderId="34" xfId="0" applyNumberFormat="1" applyFont="1" applyBorder="1" applyAlignment="1">
      <alignment horizontal="right" vertical="center"/>
    </xf>
    <xf numFmtId="3" fontId="25" fillId="0" borderId="34" xfId="0" applyNumberFormat="1" applyFont="1" applyBorder="1" applyAlignment="1">
      <alignment horizontal="right" vertical="center"/>
    </xf>
    <xf numFmtId="1" fontId="25" fillId="0" borderId="1" xfId="0" applyNumberFormat="1" applyFont="1" applyBorder="1" applyAlignment="1">
      <alignment horizontal="right" vertical="center"/>
    </xf>
    <xf numFmtId="0" fontId="25" fillId="0" borderId="34" xfId="0" applyFont="1" applyBorder="1" applyAlignment="1">
      <alignment horizontal="right" vertical="center"/>
    </xf>
    <xf numFmtId="3" fontId="25" fillId="0" borderId="10" xfId="0" applyNumberFormat="1" applyFont="1" applyBorder="1" applyAlignment="1">
      <alignment horizontal="right" vertical="center"/>
    </xf>
    <xf numFmtId="0" fontId="25" fillId="0" borderId="10" xfId="0" applyFont="1" applyBorder="1" applyAlignment="1">
      <alignment horizontal="right" vertical="center"/>
    </xf>
    <xf numFmtId="0" fontId="25" fillId="0" borderId="35" xfId="0" applyFont="1" applyBorder="1" applyAlignment="1">
      <alignment horizontal="right" vertical="center"/>
    </xf>
    <xf numFmtId="0" fontId="25" fillId="0" borderId="6" xfId="0" applyFont="1" applyBorder="1" applyAlignment="1">
      <alignment horizontal="center" vertical="center"/>
    </xf>
    <xf numFmtId="167" fontId="27" fillId="0" borderId="6" xfId="7" applyNumberFormat="1" applyFont="1" applyFill="1" applyBorder="1" applyAlignment="1">
      <alignment horizontal="right" vertical="center"/>
    </xf>
    <xf numFmtId="0" fontId="25" fillId="0" borderId="1" xfId="0" applyFont="1" applyBorder="1" applyAlignment="1">
      <alignment horizontal="center" vertical="center"/>
    </xf>
    <xf numFmtId="167" fontId="27" fillId="0" borderId="1" xfId="7" applyNumberFormat="1" applyFont="1" applyFill="1" applyBorder="1" applyAlignment="1">
      <alignment horizontal="right" vertical="center"/>
    </xf>
    <xf numFmtId="0" fontId="25" fillId="0" borderId="2" xfId="0" applyFont="1" applyBorder="1" applyAlignment="1">
      <alignment horizontal="center" vertical="center"/>
    </xf>
    <xf numFmtId="167" fontId="27" fillId="0" borderId="2" xfId="7" applyNumberFormat="1" applyFont="1" applyFill="1" applyBorder="1" applyAlignment="1">
      <alignment horizontal="right" vertical="center"/>
    </xf>
    <xf numFmtId="0" fontId="28" fillId="0" borderId="42" xfId="0" applyFont="1" applyBorder="1" applyAlignment="1">
      <alignment horizontal="center" vertical="center"/>
    </xf>
    <xf numFmtId="167" fontId="28" fillId="0" borderId="42" xfId="7" applyNumberFormat="1" applyFont="1" applyFill="1" applyBorder="1" applyAlignment="1">
      <alignment horizontal="right" vertical="center"/>
    </xf>
    <xf numFmtId="0" fontId="25" fillId="0" borderId="6" xfId="0" applyFont="1" applyFill="1" applyBorder="1" applyAlignment="1">
      <alignment horizontal="center" vertical="center"/>
    </xf>
    <xf numFmtId="167" fontId="25" fillId="0" borderId="6" xfId="7" applyNumberFormat="1" applyFont="1" applyFill="1" applyBorder="1" applyAlignment="1">
      <alignment horizontal="right" vertical="center"/>
    </xf>
    <xf numFmtId="0" fontId="25" fillId="0" borderId="2" xfId="0" applyFont="1" applyFill="1" applyBorder="1" applyAlignment="1">
      <alignment horizontal="center" vertical="center"/>
    </xf>
    <xf numFmtId="167" fontId="25" fillId="0" borderId="2" xfId="7" applyNumberFormat="1" applyFont="1" applyFill="1" applyBorder="1" applyAlignment="1">
      <alignment horizontal="right" vertical="center"/>
    </xf>
    <xf numFmtId="0" fontId="28" fillId="0" borderId="9" xfId="0" applyFont="1" applyFill="1" applyBorder="1" applyAlignment="1">
      <alignment horizontal="center" vertical="center"/>
    </xf>
    <xf numFmtId="167" fontId="28" fillId="0" borderId="9" xfId="7" applyNumberFormat="1" applyFont="1" applyFill="1" applyBorder="1" applyAlignment="1">
      <alignment horizontal="right" vertical="center"/>
    </xf>
    <xf numFmtId="0" fontId="25" fillId="0" borderId="14" xfId="0" applyFont="1" applyBorder="1" applyAlignment="1">
      <alignment horizontal="left" vertical="center"/>
    </xf>
    <xf numFmtId="0" fontId="25" fillId="0" borderId="14" xfId="0" applyFont="1" applyBorder="1" applyAlignment="1">
      <alignment horizontal="center" vertical="center"/>
    </xf>
    <xf numFmtId="167" fontId="25" fillId="0" borderId="14" xfId="7" applyNumberFormat="1" applyFont="1" applyFill="1" applyBorder="1" applyAlignment="1">
      <alignment horizontal="right" vertical="center"/>
    </xf>
    <xf numFmtId="0" fontId="25" fillId="0" borderId="10" xfId="0" applyFont="1" applyBorder="1" applyAlignment="1">
      <alignment horizontal="left" vertical="center"/>
    </xf>
    <xf numFmtId="0" fontId="25" fillId="0" borderId="10" xfId="0" applyFont="1" applyBorder="1" applyAlignment="1">
      <alignment horizontal="center" vertical="center"/>
    </xf>
    <xf numFmtId="167" fontId="25" fillId="0" borderId="10" xfId="7" applyNumberFormat="1" applyFont="1" applyFill="1" applyBorder="1" applyAlignment="1">
      <alignment horizontal="right" vertical="center"/>
    </xf>
    <xf numFmtId="0" fontId="25" fillId="0" borderId="1" xfId="0" applyFont="1" applyBorder="1" applyAlignment="1">
      <alignment horizontal="left" vertical="center"/>
    </xf>
    <xf numFmtId="167" fontId="25" fillId="0" borderId="1" xfId="7" applyNumberFormat="1" applyFont="1" applyFill="1" applyBorder="1" applyAlignment="1">
      <alignment horizontal="right" vertical="center"/>
    </xf>
    <xf numFmtId="0" fontId="25" fillId="0" borderId="2" xfId="0" applyFont="1" applyBorder="1" applyAlignment="1">
      <alignment horizontal="left" vertical="center"/>
    </xf>
    <xf numFmtId="0" fontId="25" fillId="0" borderId="1" xfId="0" applyFont="1" applyFill="1" applyBorder="1" applyAlignment="1">
      <alignment horizontal="center" vertical="center"/>
    </xf>
    <xf numFmtId="0" fontId="25" fillId="0" borderId="14" xfId="0" applyFont="1" applyBorder="1" applyAlignment="1">
      <alignment horizontal="center" vertical="center" wrapText="1"/>
    </xf>
    <xf numFmtId="166" fontId="25" fillId="0" borderId="14" xfId="7" applyNumberFormat="1" applyFont="1" applyFill="1" applyBorder="1" applyAlignment="1">
      <alignment horizontal="center" vertical="center"/>
    </xf>
    <xf numFmtId="166" fontId="25" fillId="0" borderId="14" xfId="7" applyNumberFormat="1" applyFont="1" applyFill="1" applyBorder="1" applyAlignment="1">
      <alignment vertical="center"/>
    </xf>
    <xf numFmtId="166" fontId="25" fillId="0" borderId="1" xfId="7" applyNumberFormat="1" applyFont="1" applyFill="1" applyBorder="1" applyAlignment="1">
      <alignment horizontal="center" vertical="center"/>
    </xf>
    <xf numFmtId="166" fontId="25" fillId="0" borderId="1" xfId="7" applyNumberFormat="1" applyFont="1" applyFill="1" applyBorder="1" applyAlignment="1">
      <alignment vertical="center"/>
    </xf>
    <xf numFmtId="166" fontId="25" fillId="0" borderId="10" xfId="7" applyNumberFormat="1" applyFont="1" applyFill="1" applyBorder="1" applyAlignment="1">
      <alignment horizontal="center" vertical="center"/>
    </xf>
    <xf numFmtId="167" fontId="25" fillId="0" borderId="14" xfId="7" applyNumberFormat="1" applyFont="1" applyFill="1" applyBorder="1" applyAlignment="1">
      <alignment horizontal="center" vertical="center"/>
    </xf>
    <xf numFmtId="167" fontId="25" fillId="0" borderId="1" xfId="7" applyNumberFormat="1" applyFont="1" applyFill="1" applyBorder="1" applyAlignment="1">
      <alignment horizontal="center" vertical="center"/>
    </xf>
    <xf numFmtId="167" fontId="25" fillId="0" borderId="2" xfId="7" applyNumberFormat="1" applyFont="1" applyFill="1" applyBorder="1" applyAlignment="1">
      <alignment horizontal="center" vertical="center"/>
    </xf>
    <xf numFmtId="0" fontId="28" fillId="0" borderId="9" xfId="0" applyFont="1" applyBorder="1" applyAlignment="1">
      <alignment horizontal="left" vertical="center" wrapText="1"/>
    </xf>
    <xf numFmtId="0" fontId="28" fillId="0" borderId="9" xfId="0" applyFont="1" applyBorder="1" applyAlignment="1">
      <alignment horizontal="center" vertical="center"/>
    </xf>
    <xf numFmtId="167" fontId="28" fillId="0" borderId="9" xfId="7" applyNumberFormat="1" applyFont="1" applyFill="1" applyBorder="1" applyAlignment="1">
      <alignment horizontal="center" vertical="center"/>
    </xf>
    <xf numFmtId="167" fontId="25" fillId="0" borderId="14" xfId="7" applyNumberFormat="1" applyFont="1" applyFill="1" applyBorder="1" applyAlignment="1">
      <alignment vertical="center"/>
    </xf>
    <xf numFmtId="167" fontId="25" fillId="0" borderId="1" xfId="7" applyNumberFormat="1" applyFont="1" applyFill="1" applyBorder="1" applyAlignment="1">
      <alignment vertical="center"/>
    </xf>
    <xf numFmtId="0" fontId="25" fillId="0" borderId="4" xfId="0" applyFont="1" applyBorder="1" applyAlignment="1">
      <alignment horizontal="center" vertical="center"/>
    </xf>
    <xf numFmtId="167" fontId="25" fillId="0" borderId="4" xfId="7" applyNumberFormat="1" applyFont="1" applyFill="1" applyBorder="1" applyAlignment="1">
      <alignment horizontal="center" vertical="center"/>
    </xf>
    <xf numFmtId="167" fontId="28" fillId="0" borderId="42" xfId="7" applyNumberFormat="1" applyFont="1" applyFill="1" applyBorder="1" applyAlignment="1">
      <alignment horizontal="center" vertical="center"/>
    </xf>
    <xf numFmtId="0" fontId="25" fillId="0" borderId="42" xfId="0" applyFont="1" applyBorder="1" applyAlignment="1">
      <alignment horizontal="center" vertical="center"/>
    </xf>
    <xf numFmtId="167" fontId="25" fillId="0" borderId="42" xfId="7" applyNumberFormat="1" applyFont="1" applyFill="1" applyBorder="1" applyAlignment="1">
      <alignment horizontal="center" vertical="center"/>
    </xf>
    <xf numFmtId="0" fontId="28" fillId="0" borderId="9" xfId="0" applyFont="1" applyBorder="1" applyAlignment="1">
      <alignment horizontal="left" vertical="center"/>
    </xf>
    <xf numFmtId="0" fontId="31" fillId="0" borderId="18" xfId="0" applyFont="1" applyBorder="1" applyAlignment="1">
      <alignment horizontal="center" vertical="center"/>
    </xf>
    <xf numFmtId="43" fontId="25" fillId="4" borderId="18" xfId="7" applyFont="1" applyFill="1" applyBorder="1" applyAlignment="1">
      <alignment horizontal="center" vertical="center"/>
    </xf>
    <xf numFmtId="167" fontId="25" fillId="0" borderId="18" xfId="7" applyNumberFormat="1" applyFont="1" applyFill="1" applyBorder="1" applyAlignment="1">
      <alignment horizontal="center" vertical="center"/>
    </xf>
    <xf numFmtId="0" fontId="25" fillId="0" borderId="82" xfId="0" applyFont="1" applyBorder="1" applyAlignment="1">
      <alignment vertical="center"/>
    </xf>
    <xf numFmtId="0" fontId="26" fillId="0" borderId="83" xfId="0" applyFont="1" applyBorder="1" applyAlignment="1">
      <alignment vertical="center" wrapText="1"/>
    </xf>
    <xf numFmtId="0" fontId="25" fillId="0" borderId="6" xfId="0" applyFont="1" applyBorder="1" applyAlignment="1">
      <alignment horizontal="left" vertical="center"/>
    </xf>
    <xf numFmtId="167" fontId="29" fillId="0" borderId="1" xfId="7" applyNumberFormat="1" applyFont="1" applyFill="1" applyBorder="1" applyAlignment="1">
      <alignment horizontal="right" vertical="center"/>
    </xf>
    <xf numFmtId="0" fontId="29" fillId="0" borderId="1" xfId="0" applyFont="1" applyBorder="1" applyAlignment="1">
      <alignment horizontal="center" vertical="center"/>
    </xf>
    <xf numFmtId="167" fontId="29" fillId="0" borderId="1" xfId="7" applyNumberFormat="1" applyFont="1" applyFill="1" applyBorder="1" applyAlignment="1">
      <alignment horizontal="center" vertical="center"/>
    </xf>
    <xf numFmtId="0" fontId="25" fillId="0" borderId="18" xfId="0" applyFont="1" applyBorder="1" applyAlignment="1">
      <alignment horizontal="center" vertical="center"/>
    </xf>
    <xf numFmtId="43" fontId="25" fillId="0" borderId="14" xfId="7" applyFont="1" applyFill="1" applyBorder="1" applyAlignment="1">
      <alignment horizontal="center" vertical="center"/>
    </xf>
    <xf numFmtId="43" fontId="25" fillId="0" borderId="1" xfId="7" applyFont="1" applyFill="1" applyBorder="1" applyAlignment="1">
      <alignment horizontal="center" vertical="center"/>
    </xf>
    <xf numFmtId="43" fontId="25" fillId="0" borderId="10" xfId="7" applyFont="1" applyFill="1" applyBorder="1" applyAlignment="1">
      <alignment horizontal="center" vertical="center"/>
    </xf>
    <xf numFmtId="0" fontId="28" fillId="0" borderId="6" xfId="0" applyFont="1" applyBorder="1" applyAlignment="1">
      <alignment horizontal="center" vertical="center"/>
    </xf>
    <xf numFmtId="167" fontId="28" fillId="0" borderId="22" xfId="7" applyNumberFormat="1" applyFont="1" applyFill="1" applyBorder="1" applyAlignment="1">
      <alignment horizontal="center" vertical="center"/>
    </xf>
    <xf numFmtId="0" fontId="25" fillId="0" borderId="21" xfId="0" applyFont="1" applyBorder="1" applyAlignment="1">
      <alignment horizontal="center" vertical="center"/>
    </xf>
    <xf numFmtId="167" fontId="25" fillId="0" borderId="21" xfId="7" applyNumberFormat="1" applyFont="1" applyFill="1" applyBorder="1" applyAlignment="1">
      <alignment horizontal="center" vertical="center"/>
    </xf>
    <xf numFmtId="0" fontId="28" fillId="0" borderId="5" xfId="0" applyFont="1" applyBorder="1" applyAlignment="1">
      <alignment horizontal="center" vertical="center"/>
    </xf>
    <xf numFmtId="167" fontId="28" fillId="0" borderId="5" xfId="7" applyNumberFormat="1" applyFont="1" applyFill="1" applyBorder="1" applyAlignment="1">
      <alignment horizontal="center" vertical="center"/>
    </xf>
    <xf numFmtId="0" fontId="28" fillId="0" borderId="14" xfId="0" applyFont="1" applyBorder="1" applyAlignment="1">
      <alignment horizontal="center" vertical="center"/>
    </xf>
    <xf numFmtId="43" fontId="28" fillId="0" borderId="14" xfId="7" applyFont="1" applyFill="1" applyBorder="1" applyAlignment="1">
      <alignment horizontal="center" vertical="center"/>
    </xf>
    <xf numFmtId="0" fontId="28" fillId="0" borderId="4" xfId="0" applyFont="1" applyBorder="1" applyAlignment="1">
      <alignment horizontal="center" vertical="center"/>
    </xf>
    <xf numFmtId="43" fontId="28" fillId="0" borderId="4" xfId="7" applyFont="1" applyFill="1" applyBorder="1" applyAlignment="1">
      <alignment horizontal="center" vertical="center"/>
    </xf>
    <xf numFmtId="0" fontId="25" fillId="0" borderId="3" xfId="0" applyFont="1" applyBorder="1" applyAlignment="1">
      <alignment horizontal="left" vertical="center"/>
    </xf>
    <xf numFmtId="0" fontId="28" fillId="0" borderId="3" xfId="0" applyFont="1" applyBorder="1" applyAlignment="1">
      <alignment horizontal="center" vertical="center"/>
    </xf>
    <xf numFmtId="43" fontId="28" fillId="0" borderId="3" xfId="7" applyFont="1" applyFill="1" applyBorder="1" applyAlignment="1">
      <alignment horizontal="center" vertical="center"/>
    </xf>
    <xf numFmtId="0" fontId="28" fillId="0" borderId="2" xfId="0" applyFont="1" applyBorder="1" applyAlignment="1">
      <alignment horizontal="center" vertical="center"/>
    </xf>
    <xf numFmtId="43" fontId="28" fillId="0" borderId="2" xfId="7" applyFont="1" applyFill="1" applyBorder="1" applyAlignment="1">
      <alignment horizontal="center" vertical="center"/>
    </xf>
    <xf numFmtId="43" fontId="28" fillId="0" borderId="9" xfId="7" applyFont="1" applyFill="1" applyBorder="1" applyAlignment="1">
      <alignment horizontal="center" vertical="center"/>
    </xf>
    <xf numFmtId="0" fontId="25" fillId="0" borderId="9" xfId="0" applyFont="1" applyBorder="1" applyAlignment="1">
      <alignment horizontal="left" vertical="center"/>
    </xf>
    <xf numFmtId="0" fontId="25" fillId="0" borderId="9" xfId="0" applyFont="1" applyBorder="1" applyAlignment="1">
      <alignment horizontal="center" vertical="center"/>
    </xf>
    <xf numFmtId="167" fontId="25" fillId="0" borderId="9" xfId="7" applyNumberFormat="1" applyFont="1" applyFill="1" applyBorder="1" applyAlignment="1">
      <alignment horizontal="center" vertical="center"/>
    </xf>
    <xf numFmtId="167" fontId="25" fillId="0" borderId="12" xfId="7" applyNumberFormat="1" applyFont="1" applyFill="1" applyBorder="1" applyAlignment="1">
      <alignment horizontal="center" vertical="center"/>
    </xf>
    <xf numFmtId="167" fontId="25" fillId="0" borderId="9" xfId="7" applyNumberFormat="1" applyFont="1" applyFill="1" applyBorder="1" applyAlignment="1">
      <alignment horizontal="left" vertical="center" wrapText="1"/>
    </xf>
    <xf numFmtId="0" fontId="25" fillId="0" borderId="18" xfId="0" applyFont="1" applyBorder="1" applyAlignment="1">
      <alignment horizontal="left" vertical="center" wrapText="1"/>
    </xf>
    <xf numFmtId="167" fontId="25" fillId="0" borderId="14" xfId="7" applyNumberFormat="1" applyFont="1" applyFill="1" applyBorder="1" applyAlignment="1">
      <alignment horizontal="center" vertical="center" wrapText="1"/>
    </xf>
    <xf numFmtId="167" fontId="25" fillId="0" borderId="1" xfId="7" applyNumberFormat="1" applyFont="1" applyFill="1" applyBorder="1" applyAlignment="1">
      <alignment horizontal="center" vertical="center" wrapText="1"/>
    </xf>
    <xf numFmtId="167" fontId="25" fillId="0" borderId="1" xfId="7" applyNumberFormat="1" applyFont="1" applyFill="1" applyBorder="1" applyAlignment="1">
      <alignment horizontal="right" vertical="center" wrapText="1"/>
    </xf>
    <xf numFmtId="0" fontId="28" fillId="0" borderId="42" xfId="0" applyFont="1" applyBorder="1" applyAlignment="1">
      <alignment horizontal="left" vertical="center" wrapText="1"/>
    </xf>
    <xf numFmtId="0" fontId="28" fillId="0" borderId="42" xfId="0" applyFont="1" applyBorder="1" applyAlignment="1">
      <alignment horizontal="center" vertical="center" wrapText="1"/>
    </xf>
    <xf numFmtId="167" fontId="28" fillId="0" borderId="42" xfId="7" applyNumberFormat="1" applyFont="1" applyFill="1" applyBorder="1" applyAlignment="1">
      <alignment horizontal="center" vertical="center" wrapText="1"/>
    </xf>
    <xf numFmtId="0" fontId="25" fillId="0" borderId="42" xfId="0" applyFont="1" applyBorder="1" applyAlignment="1">
      <alignment horizontal="left" vertical="center" wrapText="1"/>
    </xf>
    <xf numFmtId="0" fontId="25" fillId="0" borderId="47" xfId="0" applyFont="1" applyBorder="1" applyAlignment="1">
      <alignment horizontal="left" vertical="center" wrapText="1"/>
    </xf>
    <xf numFmtId="0" fontId="25" fillId="0" borderId="47" xfId="0" applyFont="1" applyBorder="1" applyAlignment="1">
      <alignment horizontal="center" vertical="center" wrapText="1"/>
    </xf>
    <xf numFmtId="167" fontId="25" fillId="0" borderId="47" xfId="7" applyNumberFormat="1" applyFont="1" applyFill="1" applyBorder="1" applyAlignment="1">
      <alignment horizontal="center" vertical="center" wrapText="1"/>
    </xf>
    <xf numFmtId="167" fontId="25" fillId="0" borderId="47" xfId="7" applyNumberFormat="1" applyFont="1" applyFill="1" applyBorder="1" applyAlignment="1">
      <alignment horizontal="center" vertical="center"/>
    </xf>
    <xf numFmtId="0" fontId="25" fillId="0" borderId="18" xfId="0" applyFont="1" applyBorder="1" applyAlignment="1">
      <alignment horizontal="center" vertical="center" wrapText="1"/>
    </xf>
    <xf numFmtId="167" fontId="25" fillId="0" borderId="18" xfId="7" applyNumberFormat="1" applyFont="1" applyFill="1" applyBorder="1" applyAlignment="1">
      <alignment horizontal="center" vertical="center" wrapText="1"/>
    </xf>
    <xf numFmtId="167" fontId="28" fillId="0" borderId="13" xfId="7" applyNumberFormat="1" applyFont="1" applyFill="1" applyBorder="1" applyAlignment="1">
      <alignment horizontal="center" vertical="center" wrapText="1"/>
    </xf>
    <xf numFmtId="0" fontId="31" fillId="0" borderId="13" xfId="0" applyFont="1" applyBorder="1" applyAlignment="1">
      <alignment vertical="center" wrapText="1"/>
    </xf>
    <xf numFmtId="0" fontId="25" fillId="0" borderId="3" xfId="0" applyFont="1" applyBorder="1" applyAlignment="1">
      <alignment horizontal="center" vertical="center" wrapText="1"/>
    </xf>
    <xf numFmtId="167" fontId="25" fillId="0" borderId="3" xfId="7" applyNumberFormat="1" applyFont="1" applyFill="1" applyBorder="1" applyAlignment="1">
      <alignment horizontal="center" vertical="center" wrapText="1"/>
    </xf>
    <xf numFmtId="43" fontId="25" fillId="0" borderId="6" xfId="7" applyFont="1" applyFill="1" applyBorder="1" applyAlignment="1">
      <alignment horizontal="center" vertical="center" wrapText="1"/>
    </xf>
    <xf numFmtId="43" fontId="25" fillId="0" borderId="1" xfId="7" applyFont="1" applyFill="1" applyBorder="1" applyAlignment="1">
      <alignment horizontal="center" vertical="center" wrapText="1"/>
    </xf>
    <xf numFmtId="0" fontId="25" fillId="0" borderId="4" xfId="0" applyFont="1" applyBorder="1" applyAlignment="1">
      <alignment horizontal="center" vertical="center" wrapText="1"/>
    </xf>
    <xf numFmtId="43" fontId="25" fillId="0" borderId="4" xfId="7" applyFont="1" applyFill="1" applyBorder="1" applyAlignment="1">
      <alignment horizontal="center" vertical="center" wrapText="1"/>
    </xf>
    <xf numFmtId="0" fontId="25" fillId="0" borderId="2" xfId="0" applyFont="1" applyBorder="1" applyAlignment="1">
      <alignment horizontal="center" vertical="center" wrapText="1"/>
    </xf>
    <xf numFmtId="43" fontId="25" fillId="0" borderId="2" xfId="7" applyFont="1" applyFill="1" applyBorder="1" applyAlignment="1">
      <alignment horizontal="center" vertical="center" wrapText="1"/>
    </xf>
    <xf numFmtId="43" fontId="25" fillId="0" borderId="44" xfId="7" applyFont="1" applyFill="1" applyBorder="1" applyAlignment="1">
      <alignment horizontal="center" vertical="center" wrapText="1"/>
    </xf>
    <xf numFmtId="167" fontId="25" fillId="0" borderId="6" xfId="7" applyNumberFormat="1" applyFont="1" applyFill="1" applyBorder="1" applyAlignment="1">
      <alignment horizontal="center" vertical="center" wrapText="1"/>
    </xf>
    <xf numFmtId="43" fontId="25" fillId="0" borderId="6" xfId="7" applyFont="1" applyFill="1" applyBorder="1" applyAlignment="1">
      <alignment horizontal="center" vertical="center"/>
    </xf>
    <xf numFmtId="43" fontId="25" fillId="0" borderId="3" xfId="7" applyFont="1" applyFill="1" applyBorder="1" applyAlignment="1">
      <alignment horizontal="center" vertical="center" wrapText="1"/>
    </xf>
    <xf numFmtId="2" fontId="25" fillId="0" borderId="3" xfId="7" applyNumberFormat="1" applyFont="1" applyFill="1" applyBorder="1" applyAlignment="1">
      <alignment horizontal="right" vertical="center" wrapText="1"/>
    </xf>
    <xf numFmtId="2" fontId="25" fillId="0" borderId="1" xfId="7" applyNumberFormat="1" applyFont="1" applyFill="1" applyBorder="1" applyAlignment="1">
      <alignment horizontal="right" vertical="center" wrapText="1"/>
    </xf>
    <xf numFmtId="2" fontId="25" fillId="0" borderId="2" xfId="7" applyNumberFormat="1" applyFont="1" applyFill="1" applyBorder="1" applyAlignment="1">
      <alignment horizontal="right" vertical="center" wrapText="1"/>
    </xf>
    <xf numFmtId="43" fontId="25" fillId="0" borderId="2" xfId="7" applyFont="1" applyFill="1" applyBorder="1" applyAlignment="1">
      <alignment horizontal="center" vertical="center"/>
    </xf>
    <xf numFmtId="0" fontId="25" fillId="0" borderId="42" xfId="0" applyFont="1" applyBorder="1" applyAlignment="1">
      <alignment horizontal="center" vertical="center" wrapText="1"/>
    </xf>
    <xf numFmtId="43" fontId="25" fillId="0" borderId="42" xfId="7" applyFont="1" applyFill="1" applyBorder="1" applyAlignment="1">
      <alignment horizontal="center" vertical="center" wrapText="1"/>
    </xf>
    <xf numFmtId="167" fontId="25" fillId="0" borderId="10" xfId="7" applyNumberFormat="1" applyFont="1" applyFill="1" applyBorder="1" applyAlignment="1">
      <alignment horizontal="center" vertical="center"/>
    </xf>
    <xf numFmtId="43" fontId="25" fillId="0" borderId="5" xfId="7" applyFont="1" applyFill="1" applyBorder="1" applyAlignment="1">
      <alignment horizontal="center" vertical="center" wrapText="1"/>
    </xf>
    <xf numFmtId="43" fontId="25" fillId="0" borderId="10" xfId="7" applyFont="1" applyFill="1" applyBorder="1" applyAlignment="1">
      <alignment horizontal="center" vertical="center" wrapText="1"/>
    </xf>
    <xf numFmtId="167" fontId="25" fillId="0" borderId="14" xfId="7" applyNumberFormat="1" applyFont="1" applyFill="1" applyBorder="1" applyAlignment="1">
      <alignment horizontal="right" vertical="center" wrapText="1"/>
    </xf>
    <xf numFmtId="167" fontId="25" fillId="0" borderId="2" xfId="7" applyNumberFormat="1" applyFont="1" applyFill="1" applyBorder="1" applyAlignment="1">
      <alignment horizontal="right" vertical="center" wrapText="1"/>
    </xf>
    <xf numFmtId="167" fontId="25" fillId="0" borderId="2" xfId="7" applyNumberFormat="1" applyFont="1" applyFill="1" applyBorder="1" applyAlignment="1">
      <alignment horizontal="center" vertical="center" wrapText="1"/>
    </xf>
    <xf numFmtId="167" fontId="25" fillId="0" borderId="3" xfId="7" applyNumberFormat="1" applyFont="1" applyFill="1" applyBorder="1" applyAlignment="1">
      <alignment horizontal="right" vertical="center" wrapText="1"/>
    </xf>
    <xf numFmtId="43" fontId="25" fillId="0" borderId="3" xfId="7" applyFont="1" applyFill="1" applyBorder="1" applyAlignment="1">
      <alignment horizontal="right" vertical="center" wrapText="1"/>
    </xf>
    <xf numFmtId="43" fontId="25" fillId="0" borderId="2" xfId="7" applyFont="1" applyFill="1" applyBorder="1" applyAlignment="1">
      <alignment horizontal="right" vertical="center" wrapText="1"/>
    </xf>
    <xf numFmtId="43" fontId="25" fillId="0" borderId="18" xfId="7" applyFont="1" applyFill="1" applyBorder="1" applyAlignment="1">
      <alignment horizontal="center" vertical="center" wrapText="1"/>
    </xf>
    <xf numFmtId="0" fontId="25" fillId="0" borderId="18" xfId="0" applyFont="1" applyBorder="1" applyAlignment="1">
      <alignment vertical="center" wrapText="1"/>
    </xf>
    <xf numFmtId="167" fontId="25" fillId="0" borderId="3" xfId="13" applyNumberFormat="1" applyFont="1" applyFill="1" applyBorder="1" applyAlignment="1">
      <alignment horizontal="center" vertical="center" wrapText="1"/>
    </xf>
    <xf numFmtId="167" fontId="25" fillId="0" borderId="1" xfId="13" applyNumberFormat="1" applyFont="1" applyFill="1" applyBorder="1" applyAlignment="1">
      <alignment horizontal="center" vertical="center" wrapText="1"/>
    </xf>
    <xf numFmtId="167" fontId="25" fillId="0" borderId="4" xfId="7" applyNumberFormat="1" applyFont="1" applyFill="1" applyBorder="1" applyAlignment="1">
      <alignment horizontal="center" vertical="center" wrapText="1"/>
    </xf>
    <xf numFmtId="167" fontId="25" fillId="0" borderId="5" xfId="7" applyNumberFormat="1" applyFont="1" applyFill="1" applyBorder="1" applyAlignment="1">
      <alignment horizontal="center" vertical="center" wrapText="1"/>
    </xf>
    <xf numFmtId="167" fontId="25" fillId="0" borderId="10" xfId="7" applyNumberFormat="1" applyFont="1" applyFill="1" applyBorder="1" applyAlignment="1">
      <alignment horizontal="center" vertical="center" wrapText="1"/>
    </xf>
    <xf numFmtId="0" fontId="25" fillId="0" borderId="44" xfId="0" applyFont="1" applyBorder="1" applyAlignment="1">
      <alignment horizontal="center" vertical="center" wrapText="1"/>
    </xf>
    <xf numFmtId="167" fontId="25" fillId="0" borderId="44" xfId="7" applyNumberFormat="1" applyFont="1" applyFill="1" applyBorder="1" applyAlignment="1">
      <alignment horizontal="right" vertical="center" wrapText="1"/>
    </xf>
    <xf numFmtId="166" fontId="25" fillId="0" borderId="44" xfId="7" applyNumberFormat="1" applyFont="1" applyFill="1" applyBorder="1" applyAlignment="1">
      <alignment horizontal="center" vertical="center" wrapText="1"/>
    </xf>
    <xf numFmtId="0" fontId="25" fillId="0" borderId="61" xfId="0" applyFont="1" applyBorder="1" applyAlignment="1">
      <alignment horizontal="left" vertical="center" wrapText="1"/>
    </xf>
    <xf numFmtId="167" fontId="25" fillId="0" borderId="5" xfId="7" applyNumberFormat="1" applyFont="1" applyFill="1" applyBorder="1" applyAlignment="1">
      <alignment horizontal="right" vertical="center" wrapText="1"/>
    </xf>
    <xf numFmtId="166" fontId="25" fillId="0" borderId="5" xfId="7" applyNumberFormat="1" applyFont="1" applyFill="1" applyBorder="1" applyAlignment="1">
      <alignment horizontal="center" vertical="center" wrapText="1"/>
    </xf>
    <xf numFmtId="43" fontId="25" fillId="0" borderId="14" xfId="7" applyFont="1" applyFill="1" applyBorder="1" applyAlignment="1">
      <alignment horizontal="center" vertical="center" wrapText="1"/>
    </xf>
    <xf numFmtId="43" fontId="25" fillId="0" borderId="3" xfId="7" applyFont="1" applyFill="1" applyBorder="1" applyAlignment="1">
      <alignment horizontal="center" vertical="center"/>
    </xf>
    <xf numFmtId="167" fontId="25" fillId="0" borderId="1" xfId="7" applyNumberFormat="1" applyFont="1" applyFill="1" applyBorder="1" applyAlignment="1">
      <alignment horizontal="left" vertical="center" wrapText="1"/>
    </xf>
    <xf numFmtId="167" fontId="25" fillId="0" borderId="1" xfId="7" applyNumberFormat="1" applyFont="1" applyFill="1" applyBorder="1" applyAlignment="1">
      <alignment horizontal="left" vertical="center"/>
    </xf>
    <xf numFmtId="43" fontId="25" fillId="0" borderId="7" xfId="7" applyFont="1" applyFill="1" applyBorder="1" applyAlignment="1">
      <alignment horizontal="center" vertical="center" wrapText="1"/>
    </xf>
    <xf numFmtId="0" fontId="26" fillId="0" borderId="1" xfId="0" applyFont="1" applyBorder="1" applyAlignment="1">
      <alignment horizontal="left" vertical="center" wrapText="1"/>
    </xf>
    <xf numFmtId="43" fontId="33" fillId="0" borderId="9" xfId="7" applyFont="1" applyFill="1" applyBorder="1" applyAlignment="1">
      <alignment horizontal="center" vertical="center" wrapText="1"/>
    </xf>
    <xf numFmtId="0" fontId="28" fillId="0" borderId="13" xfId="0" applyFont="1" applyBorder="1" applyAlignment="1">
      <alignment vertical="center" wrapText="1"/>
    </xf>
    <xf numFmtId="0" fontId="28" fillId="0" borderId="1" xfId="0" applyFont="1" applyBorder="1" applyAlignment="1">
      <alignment horizontal="left" vertical="center"/>
    </xf>
    <xf numFmtId="0" fontId="28" fillId="0" borderId="1" xfId="0" applyFont="1" applyBorder="1" applyAlignment="1">
      <alignment horizontal="center" vertical="center"/>
    </xf>
    <xf numFmtId="167" fontId="28" fillId="0" borderId="1" xfId="7" applyNumberFormat="1" applyFont="1" applyFill="1" applyBorder="1" applyAlignment="1">
      <alignment horizontal="center" vertical="center"/>
    </xf>
    <xf numFmtId="0" fontId="28" fillId="0" borderId="5" xfId="0" applyFont="1" applyBorder="1" applyAlignment="1">
      <alignment vertical="center" wrapText="1"/>
    </xf>
    <xf numFmtId="0" fontId="25" fillId="0" borderId="0" xfId="0" applyFont="1" applyAlignment="1">
      <alignment horizontal="left" vertical="center" indent="1"/>
    </xf>
    <xf numFmtId="0" fontId="25" fillId="0" borderId="0" xfId="0" applyFont="1" applyAlignment="1">
      <alignment horizontal="left" vertical="center"/>
    </xf>
    <xf numFmtId="0" fontId="25" fillId="0" borderId="0" xfId="0" applyFont="1" applyAlignment="1">
      <alignment horizontal="center" vertical="center"/>
    </xf>
    <xf numFmtId="0" fontId="25" fillId="0" borderId="0" xfId="0" applyFont="1" applyAlignment="1">
      <alignment vertical="center"/>
    </xf>
    <xf numFmtId="0" fontId="25" fillId="0" borderId="0" xfId="0" applyFont="1" applyAlignment="1">
      <alignment vertical="center" wrapText="1"/>
    </xf>
    <xf numFmtId="0" fontId="25" fillId="0" borderId="0" xfId="0" applyFont="1" applyAlignment="1">
      <alignment horizontal="left" vertical="center" wrapText="1"/>
    </xf>
    <xf numFmtId="0" fontId="25" fillId="0" borderId="6" xfId="0" applyFont="1" applyBorder="1" applyAlignment="1">
      <alignment vertical="center"/>
    </xf>
    <xf numFmtId="0" fontId="32" fillId="0" borderId="6" xfId="0" applyFont="1" applyBorder="1" applyAlignment="1">
      <alignment horizontal="center" vertical="center"/>
    </xf>
    <xf numFmtId="166" fontId="25" fillId="0" borderId="6" xfId="7" applyNumberFormat="1" applyFont="1" applyFill="1" applyBorder="1" applyAlignment="1">
      <alignment horizontal="center" vertical="center"/>
    </xf>
    <xf numFmtId="0" fontId="25" fillId="0" borderId="1" xfId="0" applyFont="1" applyBorder="1" applyAlignment="1">
      <alignment vertical="center"/>
    </xf>
    <xf numFmtId="166" fontId="25" fillId="0" borderId="1" xfId="7" applyNumberFormat="1" applyFont="1" applyFill="1" applyBorder="1" applyAlignment="1">
      <alignment horizontal="right" vertical="center"/>
    </xf>
    <xf numFmtId="0" fontId="25" fillId="0" borderId="2" xfId="0" applyFont="1" applyBorder="1" applyAlignment="1">
      <alignment vertical="center"/>
    </xf>
    <xf numFmtId="166" fontId="25" fillId="0" borderId="2" xfId="7" applyNumberFormat="1" applyFont="1" applyFill="1" applyBorder="1" applyAlignment="1">
      <alignment horizontal="center" vertical="center"/>
    </xf>
    <xf numFmtId="0" fontId="25" fillId="0" borderId="10" xfId="0" applyFont="1" applyBorder="1" applyAlignment="1">
      <alignment vertical="center"/>
    </xf>
    <xf numFmtId="0" fontId="29" fillId="0" borderId="13" xfId="0" applyFont="1" applyBorder="1" applyAlignment="1">
      <alignment vertical="center" wrapText="1"/>
    </xf>
    <xf numFmtId="0" fontId="29" fillId="0" borderId="13" xfId="0" applyFont="1" applyBorder="1" applyAlignment="1">
      <alignment horizontal="center" vertical="center"/>
    </xf>
    <xf numFmtId="167" fontId="29" fillId="0" borderId="13" xfId="7" applyNumberFormat="1" applyFont="1" applyFill="1" applyBorder="1" applyAlignment="1">
      <alignment horizontal="center" vertical="center"/>
    </xf>
    <xf numFmtId="0" fontId="25" fillId="0" borderId="3" xfId="0" applyFont="1" applyBorder="1" applyAlignment="1">
      <alignment vertical="center"/>
    </xf>
    <xf numFmtId="0" fontId="25" fillId="0" borderId="3" xfId="0" applyFont="1" applyBorder="1" applyAlignment="1">
      <alignment horizontal="center" vertical="center"/>
    </xf>
    <xf numFmtId="167" fontId="25" fillId="0" borderId="3" xfId="7" applyNumberFormat="1" applyFont="1" applyFill="1" applyBorder="1" applyAlignment="1">
      <alignment horizontal="center" vertical="center"/>
    </xf>
    <xf numFmtId="0" fontId="25" fillId="0" borderId="9" xfId="0" applyFont="1" applyBorder="1" applyAlignment="1">
      <alignment vertical="center"/>
    </xf>
    <xf numFmtId="167" fontId="25" fillId="0" borderId="2" xfId="7" applyNumberFormat="1" applyFont="1" applyFill="1" applyBorder="1" applyAlignment="1">
      <alignment vertical="center"/>
    </xf>
    <xf numFmtId="167" fontId="25" fillId="0" borderId="2" xfId="7" applyNumberFormat="1" applyFont="1" applyFill="1" applyBorder="1" applyAlignment="1">
      <alignment horizontal="left" vertical="center"/>
    </xf>
    <xf numFmtId="166" fontId="25" fillId="0" borderId="61" xfId="7" applyNumberFormat="1" applyFont="1" applyFill="1" applyBorder="1" applyAlignment="1">
      <alignment horizontal="center" vertical="center"/>
    </xf>
    <xf numFmtId="166" fontId="25" fillId="0" borderId="67" xfId="7" applyNumberFormat="1" applyFont="1" applyFill="1" applyBorder="1" applyAlignment="1">
      <alignment horizontal="center" vertical="center"/>
    </xf>
    <xf numFmtId="0" fontId="25" fillId="0" borderId="61" xfId="0" applyFont="1" applyBorder="1" applyAlignment="1">
      <alignment vertical="center" wrapText="1"/>
    </xf>
    <xf numFmtId="0" fontId="25" fillId="0" borderId="55" xfId="0" applyFont="1" applyBorder="1" applyAlignment="1">
      <alignment vertical="center" wrapText="1"/>
    </xf>
    <xf numFmtId="43" fontId="25" fillId="0" borderId="3" xfId="7" applyFont="1" applyFill="1" applyBorder="1" applyAlignment="1">
      <alignment vertical="center"/>
    </xf>
    <xf numFmtId="43" fontId="25" fillId="0" borderId="2" xfId="7" applyFont="1" applyFill="1" applyBorder="1" applyAlignment="1">
      <alignment vertical="center"/>
    </xf>
    <xf numFmtId="43" fontId="25" fillId="0" borderId="6" xfId="7" applyFont="1" applyFill="1" applyBorder="1" applyAlignment="1">
      <alignment vertical="center"/>
    </xf>
    <xf numFmtId="43" fontId="25" fillId="0" borderId="1" xfId="7" applyFont="1" applyFill="1" applyBorder="1" applyAlignment="1">
      <alignment vertical="center"/>
    </xf>
    <xf numFmtId="43" fontId="25" fillId="0" borderId="4" xfId="7" applyFont="1" applyFill="1" applyBorder="1" applyAlignment="1">
      <alignment vertical="center"/>
    </xf>
    <xf numFmtId="43" fontId="25" fillId="0" borderId="14" xfId="7" applyFont="1" applyFill="1" applyBorder="1" applyAlignment="1">
      <alignment vertical="center"/>
    </xf>
    <xf numFmtId="43" fontId="25" fillId="0" borderId="9" xfId="7" applyFont="1" applyFill="1" applyBorder="1" applyAlignment="1">
      <alignment vertical="center"/>
    </xf>
    <xf numFmtId="166" fontId="25" fillId="0" borderId="9" xfId="7" applyNumberFormat="1" applyFont="1" applyFill="1" applyBorder="1" applyAlignment="1">
      <alignment horizontal="center" vertical="center"/>
    </xf>
    <xf numFmtId="166" fontId="25" fillId="0" borderId="10" xfId="7" applyNumberFormat="1" applyFont="1" applyFill="1" applyBorder="1" applyAlignment="1">
      <alignment vertical="center"/>
    </xf>
    <xf numFmtId="167" fontId="25" fillId="0" borderId="22" xfId="7" applyNumberFormat="1" applyFont="1" applyFill="1" applyBorder="1" applyAlignment="1">
      <alignment horizontal="center" vertical="center"/>
    </xf>
    <xf numFmtId="167" fontId="25" fillId="0" borderId="68" xfId="7" applyNumberFormat="1" applyFont="1" applyFill="1" applyBorder="1" applyAlignment="1">
      <alignment horizontal="center" vertical="center"/>
    </xf>
    <xf numFmtId="167" fontId="25" fillId="0" borderId="69" xfId="7" applyNumberFormat="1" applyFont="1" applyFill="1" applyBorder="1" applyAlignment="1">
      <alignment horizontal="center" vertical="center"/>
    </xf>
    <xf numFmtId="167" fontId="25" fillId="0" borderId="66" xfId="7" applyNumberFormat="1" applyFont="1" applyFill="1" applyBorder="1" applyAlignment="1">
      <alignment horizontal="center" vertical="center"/>
    </xf>
    <xf numFmtId="167" fontId="25" fillId="0" borderId="20" xfId="7" applyNumberFormat="1" applyFont="1" applyFill="1" applyBorder="1" applyAlignment="1">
      <alignment horizontal="center" vertical="center"/>
    </xf>
    <xf numFmtId="167" fontId="25" fillId="0" borderId="70" xfId="7" applyNumberFormat="1" applyFont="1" applyFill="1" applyBorder="1" applyAlignment="1">
      <alignment horizontal="center" vertical="center"/>
    </xf>
    <xf numFmtId="0" fontId="25" fillId="0" borderId="14" xfId="0" applyFont="1" applyBorder="1" applyAlignment="1">
      <alignment vertical="center"/>
    </xf>
    <xf numFmtId="0" fontId="25" fillId="0" borderId="28" xfId="0" applyFont="1" applyBorder="1" applyAlignment="1">
      <alignment vertical="top" wrapText="1"/>
    </xf>
    <xf numFmtId="0" fontId="25" fillId="0" borderId="0" xfId="0" applyFont="1" applyAlignment="1">
      <alignment vertical="top" wrapText="1"/>
    </xf>
    <xf numFmtId="0" fontId="25" fillId="0" borderId="29" xfId="0" applyFont="1" applyBorder="1" applyAlignment="1">
      <alignment vertical="top" wrapText="1"/>
    </xf>
    <xf numFmtId="0" fontId="25" fillId="0" borderId="30" xfId="0" applyFont="1" applyBorder="1" applyAlignment="1">
      <alignment vertical="top" wrapText="1"/>
    </xf>
    <xf numFmtId="0" fontId="7" fillId="3" borderId="19" xfId="0" applyFont="1" applyFill="1" applyBorder="1" applyAlignment="1">
      <alignment horizontal="left" vertical="center" wrapText="1"/>
    </xf>
    <xf numFmtId="0" fontId="0" fillId="0" borderId="0" xfId="0" applyFill="1" applyAlignment="1">
      <alignment vertical="center" wrapText="1"/>
    </xf>
    <xf numFmtId="0" fontId="7" fillId="0" borderId="0" xfId="0" applyFont="1" applyFill="1" applyBorder="1" applyAlignment="1">
      <alignment horizontal="left" vertical="center" wrapText="1"/>
    </xf>
    <xf numFmtId="0" fontId="0" fillId="0" borderId="0" xfId="0" applyFill="1" applyAlignment="1">
      <alignment vertical="top" wrapText="1"/>
    </xf>
    <xf numFmtId="0" fontId="0" fillId="0" borderId="0" xfId="0" applyBorder="1" applyAlignment="1" applyProtection="1">
      <alignment vertical="top" wrapText="1"/>
      <protection locked="0"/>
    </xf>
    <xf numFmtId="0" fontId="11" fillId="0" borderId="0" xfId="0" applyFont="1" applyBorder="1" applyAlignment="1" applyProtection="1">
      <alignment vertical="top" wrapText="1"/>
      <protection locked="0"/>
    </xf>
    <xf numFmtId="0" fontId="25" fillId="0" borderId="0" xfId="0" applyFont="1" applyBorder="1" applyAlignment="1" applyProtection="1">
      <alignment vertical="top" wrapText="1"/>
      <protection locked="0"/>
    </xf>
    <xf numFmtId="0" fontId="25" fillId="0" borderId="20" xfId="0" applyFont="1" applyBorder="1" applyAlignment="1">
      <alignment vertical="center" wrapText="1"/>
    </xf>
    <xf numFmtId="167" fontId="25" fillId="0" borderId="4" xfId="7" applyNumberFormat="1" applyFont="1" applyFill="1" applyBorder="1" applyAlignment="1">
      <alignment vertical="center"/>
    </xf>
    <xf numFmtId="0" fontId="0" fillId="0" borderId="0" xfId="0" applyAlignment="1">
      <alignment horizontal="left" vertical="top"/>
    </xf>
    <xf numFmtId="43" fontId="25" fillId="0" borderId="10" xfId="7" applyFont="1" applyFill="1" applyBorder="1" applyAlignment="1">
      <alignment vertical="center"/>
    </xf>
    <xf numFmtId="0" fontId="25" fillId="0" borderId="6" xfId="0" applyFont="1" applyBorder="1" applyAlignment="1">
      <alignment horizontal="center" vertical="center" wrapText="1"/>
    </xf>
    <xf numFmtId="0" fontId="25" fillId="0" borderId="4" xfId="0" applyFont="1" applyBorder="1" applyAlignment="1">
      <alignment vertical="center"/>
    </xf>
    <xf numFmtId="167" fontId="25" fillId="0" borderId="3" xfId="7" applyNumberFormat="1" applyFont="1" applyFill="1" applyBorder="1" applyAlignment="1">
      <alignment vertical="center"/>
    </xf>
    <xf numFmtId="167" fontId="25" fillId="0" borderId="10" xfId="7" applyNumberFormat="1" applyFont="1" applyFill="1" applyBorder="1" applyAlignment="1">
      <alignment vertical="center"/>
    </xf>
    <xf numFmtId="167" fontId="25" fillId="0" borderId="13" xfId="7" applyNumberFormat="1" applyFont="1" applyFill="1" applyBorder="1" applyAlignment="1">
      <alignment vertical="center"/>
    </xf>
    <xf numFmtId="43" fontId="25" fillId="0" borderId="14" xfId="7" applyNumberFormat="1" applyFont="1" applyFill="1" applyBorder="1" applyAlignment="1">
      <alignment horizontal="center" vertical="center"/>
    </xf>
    <xf numFmtId="43" fontId="25" fillId="0" borderId="14" xfId="7" applyNumberFormat="1" applyFont="1" applyFill="1" applyBorder="1" applyAlignment="1">
      <alignment vertical="center"/>
    </xf>
    <xf numFmtId="43" fontId="25" fillId="0" borderId="1" xfId="7" applyNumberFormat="1" applyFont="1" applyFill="1" applyBorder="1" applyAlignment="1">
      <alignment horizontal="center" vertical="center"/>
    </xf>
    <xf numFmtId="43" fontId="25" fillId="0" borderId="1" xfId="7" applyNumberFormat="1" applyFont="1" applyFill="1" applyBorder="1" applyAlignment="1">
      <alignment vertical="center"/>
    </xf>
    <xf numFmtId="43" fontId="25" fillId="0" borderId="10" xfId="7" applyNumberFormat="1" applyFont="1" applyFill="1" applyBorder="1" applyAlignment="1">
      <alignment horizontal="center" vertical="center"/>
    </xf>
    <xf numFmtId="0" fontId="17" fillId="0" borderId="0" xfId="0" applyFont="1" applyFill="1" applyAlignment="1">
      <alignment vertical="center" wrapText="1"/>
    </xf>
    <xf numFmtId="0" fontId="18" fillId="0" borderId="0" xfId="0" applyFont="1" applyFill="1" applyBorder="1" applyAlignment="1">
      <alignment horizontal="center" vertical="center" wrapText="1"/>
    </xf>
    <xf numFmtId="0" fontId="26" fillId="0" borderId="0" xfId="0" applyFont="1" applyFill="1" applyBorder="1" applyAlignment="1">
      <alignment vertical="center" wrapText="1"/>
    </xf>
    <xf numFmtId="0" fontId="26" fillId="0" borderId="0" xfId="0" quotePrefix="1" applyFont="1" applyFill="1" applyBorder="1" applyAlignment="1">
      <alignment vertical="center" wrapText="1"/>
    </xf>
    <xf numFmtId="0" fontId="26" fillId="0" borderId="0" xfId="0" applyFont="1" applyFill="1" applyBorder="1" applyAlignment="1">
      <alignment horizontal="left" vertical="center" wrapText="1"/>
    </xf>
    <xf numFmtId="0" fontId="0" fillId="0" borderId="0" xfId="0" applyFill="1" applyAlignment="1">
      <alignment vertical="center"/>
    </xf>
    <xf numFmtId="0" fontId="25" fillId="0" borderId="1" xfId="0" applyFont="1" applyBorder="1" applyAlignment="1">
      <alignment horizontal="center" vertical="center" wrapText="1"/>
    </xf>
    <xf numFmtId="0" fontId="25" fillId="0" borderId="10" xfId="0" applyFont="1" applyBorder="1" applyAlignment="1">
      <alignment horizontal="center" vertical="center" wrapText="1"/>
    </xf>
    <xf numFmtId="43" fontId="25" fillId="0" borderId="1" xfId="7" applyNumberFormat="1" applyFont="1" applyFill="1" applyBorder="1" applyAlignment="1">
      <alignment horizontal="center" vertical="center" wrapText="1"/>
    </xf>
    <xf numFmtId="168" fontId="25" fillId="0" borderId="2" xfId="7" applyNumberFormat="1" applyFont="1" applyFill="1" applyBorder="1" applyAlignment="1">
      <alignment horizontal="right" vertical="center" wrapText="1"/>
    </xf>
    <xf numFmtId="168" fontId="25" fillId="0" borderId="1" xfId="7" applyNumberFormat="1" applyFont="1" applyFill="1" applyBorder="1" applyAlignment="1">
      <alignment horizontal="right" vertical="center" wrapText="1"/>
    </xf>
    <xf numFmtId="0" fontId="28" fillId="0" borderId="14" xfId="0" applyFont="1" applyBorder="1" applyAlignment="1">
      <alignment horizontal="left" vertical="center"/>
    </xf>
    <xf numFmtId="167" fontId="28" fillId="0" borderId="14" xfId="7" applyNumberFormat="1" applyFont="1" applyFill="1" applyBorder="1" applyAlignment="1">
      <alignment horizontal="center" vertical="center"/>
    </xf>
    <xf numFmtId="0" fontId="28" fillId="0" borderId="9" xfId="0" applyFont="1" applyBorder="1" applyAlignment="1">
      <alignment vertical="center" wrapText="1"/>
    </xf>
    <xf numFmtId="167" fontId="25" fillId="0" borderId="4" xfId="7" applyNumberFormat="1" applyFont="1" applyFill="1" applyBorder="1" applyAlignment="1">
      <alignment horizontal="right" vertical="center"/>
    </xf>
    <xf numFmtId="0" fontId="7" fillId="2" borderId="18" xfId="0" applyFont="1" applyFill="1" applyBorder="1" applyAlignment="1">
      <alignment horizontal="center" vertical="center"/>
    </xf>
    <xf numFmtId="0" fontId="0" fillId="3" borderId="0" xfId="0" applyFill="1"/>
    <xf numFmtId="0" fontId="0" fillId="0" borderId="0" xfId="0" applyAlignment="1">
      <alignment horizontal="left" vertical="center" wrapText="1"/>
    </xf>
    <xf numFmtId="0" fontId="27" fillId="0" borderId="6" xfId="0" applyFont="1" applyBorder="1" applyAlignment="1">
      <alignment vertical="center" wrapText="1"/>
    </xf>
    <xf numFmtId="0" fontId="27" fillId="0" borderId="1" xfId="0" applyFont="1" applyBorder="1" applyAlignment="1">
      <alignment vertical="center" wrapText="1"/>
    </xf>
    <xf numFmtId="0" fontId="27" fillId="0" borderId="2" xfId="0" applyFont="1" applyBorder="1" applyAlignment="1">
      <alignment vertical="center" wrapText="1"/>
    </xf>
    <xf numFmtId="0" fontId="28" fillId="0" borderId="5" xfId="0" applyFont="1" applyBorder="1" applyAlignment="1">
      <alignment horizontal="left" vertical="center" wrapText="1"/>
    </xf>
    <xf numFmtId="0" fontId="28" fillId="0" borderId="22" xfId="0" applyFont="1" applyBorder="1" applyAlignment="1">
      <alignment horizontal="left" vertical="center" wrapText="1"/>
    </xf>
    <xf numFmtId="0" fontId="0" fillId="0" borderId="0" xfId="0" applyFill="1"/>
    <xf numFmtId="0" fontId="25" fillId="0" borderId="76" xfId="0" applyFont="1" applyBorder="1" applyAlignment="1">
      <alignment vertical="center"/>
    </xf>
    <xf numFmtId="0" fontId="25" fillId="0" borderId="9" xfId="0" applyFont="1" applyBorder="1" applyAlignment="1">
      <alignment horizontal="left" vertical="center" wrapText="1"/>
    </xf>
    <xf numFmtId="0" fontId="7" fillId="2" borderId="18" xfId="0" applyFont="1" applyFill="1" applyBorder="1" applyAlignment="1">
      <alignment horizontal="center" vertical="center"/>
    </xf>
    <xf numFmtId="0" fontId="25" fillId="0" borderId="14" xfId="0" applyFont="1" applyBorder="1" applyAlignment="1">
      <alignment horizontal="left" vertical="center" wrapText="1"/>
    </xf>
    <xf numFmtId="0" fontId="25" fillId="0" borderId="1" xfId="0" applyFont="1" applyBorder="1" applyAlignment="1">
      <alignment horizontal="left" vertical="center" wrapText="1"/>
    </xf>
    <xf numFmtId="0" fontId="25" fillId="0" borderId="2" xfId="0" applyFont="1" applyBorder="1" applyAlignment="1">
      <alignment horizontal="left" vertical="center" wrapText="1"/>
    </xf>
    <xf numFmtId="0" fontId="25" fillId="0" borderId="6" xfId="0" applyFont="1" applyBorder="1" applyAlignment="1">
      <alignment horizontal="left" vertical="center" wrapText="1"/>
    </xf>
    <xf numFmtId="0" fontId="25" fillId="0" borderId="10" xfId="0" applyFont="1" applyBorder="1" applyAlignment="1">
      <alignment horizontal="left" vertical="center" wrapText="1"/>
    </xf>
    <xf numFmtId="0" fontId="25" fillId="0" borderId="5" xfId="0" applyFont="1" applyBorder="1" applyAlignment="1">
      <alignment horizontal="left" vertical="center" wrapText="1"/>
    </xf>
    <xf numFmtId="0" fontId="25" fillId="0" borderId="44" xfId="0" applyFont="1" applyBorder="1" applyAlignment="1">
      <alignment horizontal="left" vertical="center" wrapText="1"/>
    </xf>
    <xf numFmtId="0" fontId="25" fillId="0" borderId="3" xfId="0" applyFont="1" applyBorder="1" applyAlignment="1">
      <alignment horizontal="left" vertical="center" wrapText="1"/>
    </xf>
    <xf numFmtId="0" fontId="25" fillId="0" borderId="5" xfId="0" applyFont="1" applyBorder="1" applyAlignment="1">
      <alignment vertical="center" wrapText="1"/>
    </xf>
    <xf numFmtId="0" fontId="25" fillId="0" borderId="13" xfId="0" applyFont="1" applyBorder="1" applyAlignment="1">
      <alignment vertical="center" wrapText="1"/>
    </xf>
    <xf numFmtId="0" fontId="25" fillId="0" borderId="4" xfId="0" applyFont="1" applyBorder="1" applyAlignment="1">
      <alignment horizontal="left" vertical="center" wrapText="1"/>
    </xf>
    <xf numFmtId="0" fontId="25" fillId="0" borderId="2" xfId="0" applyFont="1" applyBorder="1" applyAlignment="1">
      <alignment vertical="center" wrapText="1"/>
    </xf>
    <xf numFmtId="0" fontId="25" fillId="0" borderId="14" xfId="0" applyFont="1" applyBorder="1" applyAlignment="1">
      <alignment vertical="center" wrapText="1"/>
    </xf>
    <xf numFmtId="0" fontId="25" fillId="0" borderId="1" xfId="0" applyFont="1" applyBorder="1" applyAlignment="1">
      <alignment vertical="center" wrapText="1"/>
    </xf>
    <xf numFmtId="0" fontId="25" fillId="0" borderId="10" xfId="0" applyFont="1" applyBorder="1" applyAlignment="1">
      <alignment vertical="center" wrapText="1"/>
    </xf>
    <xf numFmtId="0" fontId="25" fillId="0" borderId="9" xfId="0" applyFont="1" applyBorder="1" applyAlignment="1">
      <alignment vertical="center" wrapText="1"/>
    </xf>
    <xf numFmtId="0" fontId="25" fillId="0" borderId="38" xfId="0" applyFont="1" applyBorder="1" applyAlignment="1">
      <alignment vertical="center" wrapText="1"/>
    </xf>
    <xf numFmtId="0" fontId="25" fillId="0" borderId="32" xfId="0" applyFont="1" applyBorder="1" applyAlignment="1">
      <alignment vertical="center" wrapText="1"/>
    </xf>
    <xf numFmtId="0" fontId="25" fillId="0" borderId="5" xfId="0" applyFont="1" applyBorder="1" applyAlignment="1">
      <alignment horizontal="center" vertical="center" wrapText="1"/>
    </xf>
    <xf numFmtId="0" fontId="25" fillId="0" borderId="9" xfId="0" applyFont="1" applyBorder="1" applyAlignment="1">
      <alignment horizontal="center" vertical="center" wrapText="1"/>
    </xf>
    <xf numFmtId="0" fontId="32" fillId="0" borderId="9" xfId="0" applyFont="1" applyBorder="1" applyAlignment="1">
      <alignment vertical="center" wrapText="1"/>
    </xf>
    <xf numFmtId="0" fontId="25" fillId="0" borderId="22" xfId="0" applyFont="1" applyBorder="1" applyAlignment="1">
      <alignment vertical="center" wrapText="1"/>
    </xf>
    <xf numFmtId="167" fontId="25" fillId="0" borderId="6" xfId="7" applyNumberFormat="1" applyFont="1" applyFill="1" applyBorder="1" applyAlignment="1">
      <alignment vertical="center"/>
    </xf>
    <xf numFmtId="167" fontId="25" fillId="0" borderId="6" xfId="7" applyNumberFormat="1" applyFont="1" applyFill="1" applyBorder="1" applyAlignment="1">
      <alignment horizontal="center" vertical="center"/>
    </xf>
    <xf numFmtId="0" fontId="25" fillId="0" borderId="22" xfId="0" applyFont="1" applyBorder="1" applyAlignment="1">
      <alignment horizontal="left" vertical="center" wrapText="1"/>
    </xf>
    <xf numFmtId="0" fontId="25" fillId="0" borderId="21" xfId="0" applyFont="1" applyBorder="1" applyAlignment="1">
      <alignment horizontal="left" vertical="center" wrapText="1"/>
    </xf>
    <xf numFmtId="0" fontId="32" fillId="0" borderId="3" xfId="0" applyFont="1" applyBorder="1" applyAlignment="1">
      <alignment horizontal="left" vertical="center"/>
    </xf>
    <xf numFmtId="0" fontId="32" fillId="0" borderId="1" xfId="0" applyFont="1" applyBorder="1" applyAlignment="1">
      <alignment horizontal="left" vertical="center"/>
    </xf>
    <xf numFmtId="0" fontId="32" fillId="0" borderId="2" xfId="0" applyFont="1" applyBorder="1" applyAlignment="1">
      <alignment horizontal="left" vertical="center"/>
    </xf>
    <xf numFmtId="0" fontId="32" fillId="0" borderId="9" xfId="0" applyFont="1" applyBorder="1" applyAlignment="1">
      <alignment horizontal="left" vertical="center"/>
    </xf>
    <xf numFmtId="0" fontId="25" fillId="0" borderId="40" xfId="0" applyFont="1" applyBorder="1" applyAlignment="1">
      <alignment vertical="center" wrapText="1"/>
    </xf>
    <xf numFmtId="0" fontId="25" fillId="0" borderId="63" xfId="0" applyFont="1" applyBorder="1" applyAlignment="1">
      <alignment vertical="center" wrapText="1"/>
    </xf>
    <xf numFmtId="0" fontId="11" fillId="0" borderId="28" xfId="0" applyFont="1" applyBorder="1" applyAlignment="1">
      <alignment vertical="top" wrapText="1"/>
    </xf>
    <xf numFmtId="0" fontId="11" fillId="0" borderId="29" xfId="0" applyFont="1" applyBorder="1" applyAlignment="1">
      <alignment vertical="top" wrapText="1"/>
    </xf>
    <xf numFmtId="0" fontId="39" fillId="0" borderId="0" xfId="0" applyFont="1" applyAlignment="1">
      <alignment vertical="center" wrapText="1"/>
    </xf>
    <xf numFmtId="0" fontId="39" fillId="0" borderId="0" xfId="0" applyFont="1" applyAlignment="1">
      <alignment vertical="center"/>
    </xf>
    <xf numFmtId="0" fontId="31" fillId="0" borderId="9" xfId="0" applyFont="1" applyBorder="1" applyAlignment="1">
      <alignment horizontal="left" vertical="center" wrapText="1"/>
    </xf>
    <xf numFmtId="0" fontId="29" fillId="0" borderId="1" xfId="0" applyFont="1" applyBorder="1" applyAlignment="1">
      <alignment horizontal="left" vertical="center" indent="1"/>
    </xf>
    <xf numFmtId="0" fontId="29" fillId="0" borderId="1" xfId="0" applyFont="1" applyBorder="1" applyAlignment="1">
      <alignment horizontal="left" vertical="center" wrapText="1" indent="1"/>
    </xf>
    <xf numFmtId="0" fontId="25" fillId="0" borderId="21" xfId="0" applyFont="1" applyBorder="1" applyAlignment="1">
      <alignment vertical="center" wrapText="1"/>
    </xf>
    <xf numFmtId="0" fontId="26" fillId="0" borderId="43" xfId="0" applyFont="1" applyBorder="1" applyAlignment="1">
      <alignment vertical="center" wrapText="1"/>
    </xf>
    <xf numFmtId="0" fontId="26" fillId="0" borderId="40" xfId="0" applyFont="1" applyBorder="1" applyAlignment="1">
      <alignment vertical="center" wrapText="1"/>
    </xf>
    <xf numFmtId="0" fontId="7" fillId="2" borderId="43" xfId="0" applyFont="1" applyFill="1" applyBorder="1" applyAlignment="1">
      <alignment horizontal="center" vertical="center" wrapText="1"/>
    </xf>
    <xf numFmtId="167" fontId="25" fillId="0" borderId="12" xfId="7" applyNumberFormat="1" applyFont="1" applyFill="1" applyBorder="1" applyAlignment="1">
      <alignment horizontal="left" vertical="center" wrapText="1"/>
    </xf>
    <xf numFmtId="167" fontId="25" fillId="0" borderId="1" xfId="7" applyNumberFormat="1" applyFont="1" applyFill="1" applyBorder="1" applyAlignment="1">
      <alignment horizontal="right" vertical="center" wrapText="1" indent="1"/>
    </xf>
    <xf numFmtId="167" fontId="25" fillId="0" borderId="12" xfId="7" applyNumberFormat="1" applyFont="1" applyFill="1" applyBorder="1" applyAlignment="1">
      <alignment horizontal="right" vertical="center"/>
    </xf>
    <xf numFmtId="0" fontId="28" fillId="0" borderId="42" xfId="0" applyFont="1" applyBorder="1" applyAlignment="1">
      <alignment vertical="center" wrapText="1"/>
    </xf>
    <xf numFmtId="0" fontId="25" fillId="0" borderId="47" xfId="0" applyFont="1" applyBorder="1" applyAlignment="1">
      <alignment vertical="center" wrapText="1"/>
    </xf>
    <xf numFmtId="0" fontId="33" fillId="0" borderId="42" xfId="0" applyFont="1" applyBorder="1" applyAlignment="1">
      <alignment horizontal="left" vertical="center" wrapText="1"/>
    </xf>
    <xf numFmtId="0" fontId="33" fillId="0" borderId="47" xfId="0" applyFont="1" applyBorder="1" applyAlignment="1">
      <alignment horizontal="left" vertical="center" wrapText="1"/>
    </xf>
    <xf numFmtId="0" fontId="33" fillId="0" borderId="18" xfId="0" applyFont="1" applyBorder="1" applyAlignment="1">
      <alignment horizontal="left" vertical="center" wrapText="1"/>
    </xf>
    <xf numFmtId="0" fontId="33" fillId="0" borderId="42" xfId="0" applyFont="1" applyBorder="1" applyAlignment="1">
      <alignment vertical="center" wrapText="1"/>
    </xf>
    <xf numFmtId="167" fontId="33" fillId="0" borderId="9" xfId="7" applyNumberFormat="1" applyFont="1" applyFill="1" applyBorder="1" applyAlignment="1">
      <alignment horizontal="left" vertical="center" wrapText="1"/>
    </xf>
    <xf numFmtId="0" fontId="33" fillId="0" borderId="18" xfId="0" applyFont="1" applyBorder="1" applyAlignment="1">
      <alignment vertical="center" wrapText="1"/>
    </xf>
    <xf numFmtId="0" fontId="33" fillId="0" borderId="61" xfId="0" applyFont="1" applyBorder="1" applyAlignment="1">
      <alignment horizontal="left" vertical="center" wrapText="1"/>
    </xf>
    <xf numFmtId="0" fontId="33" fillId="0" borderId="5" xfId="0" applyFont="1" applyBorder="1" applyAlignment="1">
      <alignment horizontal="left" vertical="center" wrapText="1"/>
    </xf>
    <xf numFmtId="0" fontId="33" fillId="0" borderId="14" xfId="0" applyFont="1" applyBorder="1" applyAlignment="1">
      <alignment horizontal="left" vertical="center" wrapText="1"/>
    </xf>
    <xf numFmtId="0" fontId="33" fillId="0" borderId="1" xfId="0" applyFont="1" applyBorder="1" applyAlignment="1">
      <alignment horizontal="left" vertical="center" wrapText="1"/>
    </xf>
    <xf numFmtId="0" fontId="33" fillId="0" borderId="2" xfId="0" applyFont="1" applyBorder="1" applyAlignment="1">
      <alignment horizontal="left" vertical="center" wrapText="1"/>
    </xf>
    <xf numFmtId="0" fontId="33" fillId="0" borderId="3" xfId="0" applyFont="1" applyBorder="1" applyAlignment="1">
      <alignment horizontal="left" vertical="center" wrapText="1"/>
    </xf>
    <xf numFmtId="0" fontId="33" fillId="0" borderId="10" xfId="0" applyFont="1" applyBorder="1" applyAlignment="1">
      <alignment horizontal="left" vertical="center" wrapText="1"/>
    </xf>
    <xf numFmtId="0" fontId="36" fillId="0" borderId="13" xfId="0" applyFont="1" applyBorder="1" applyAlignment="1">
      <alignment vertical="center" wrapText="1"/>
    </xf>
    <xf numFmtId="0" fontId="33" fillId="0" borderId="14" xfId="0" applyFont="1" applyBorder="1" applyAlignment="1">
      <alignment vertical="center" wrapText="1"/>
    </xf>
    <xf numFmtId="0" fontId="33" fillId="0" borderId="1" xfId="0" applyFont="1" applyBorder="1" applyAlignment="1">
      <alignment vertical="center" wrapText="1"/>
    </xf>
    <xf numFmtId="0" fontId="33" fillId="0" borderId="10" xfId="0" applyFont="1" applyBorder="1" applyAlignment="1">
      <alignment vertical="center" wrapText="1"/>
    </xf>
    <xf numFmtId="0" fontId="33" fillId="0" borderId="0" xfId="0" applyFont="1" applyAlignment="1">
      <alignment horizontal="left" vertical="center" wrapText="1"/>
    </xf>
    <xf numFmtId="0" fontId="38" fillId="0" borderId="0" xfId="0" applyFont="1" applyAlignment="1">
      <alignment vertical="center" wrapText="1"/>
    </xf>
    <xf numFmtId="0" fontId="40" fillId="0" borderId="0" xfId="0" applyFont="1" applyAlignment="1">
      <alignment vertical="center"/>
    </xf>
    <xf numFmtId="0" fontId="41" fillId="0" borderId="0" xfId="0" applyFont="1" applyAlignment="1">
      <alignment vertical="center"/>
    </xf>
    <xf numFmtId="0" fontId="32" fillId="0" borderId="6" xfId="0" applyFont="1" applyBorder="1" applyAlignment="1">
      <alignment vertical="center"/>
    </xf>
    <xf numFmtId="0" fontId="32" fillId="0" borderId="1" xfId="0" applyFont="1" applyBorder="1" applyAlignment="1">
      <alignment vertical="center"/>
    </xf>
    <xf numFmtId="0" fontId="32" fillId="0" borderId="1" xfId="0" applyFont="1" applyBorder="1" applyAlignment="1">
      <alignment horizontal="center" vertical="center"/>
    </xf>
    <xf numFmtId="0" fontId="32" fillId="0" borderId="10" xfId="0" applyFont="1" applyBorder="1" applyAlignment="1">
      <alignment vertical="center"/>
    </xf>
    <xf numFmtId="0" fontId="32" fillId="0" borderId="10" xfId="0" applyFont="1" applyBorder="1" applyAlignment="1">
      <alignment horizontal="center" vertical="center"/>
    </xf>
    <xf numFmtId="0" fontId="32" fillId="0" borderId="14" xfId="0" applyFont="1" applyBorder="1" applyAlignment="1">
      <alignment vertical="center"/>
    </xf>
    <xf numFmtId="0" fontId="32" fillId="0" borderId="14" xfId="0" applyFont="1" applyBorder="1" applyAlignment="1">
      <alignment horizontal="center" vertical="center"/>
    </xf>
    <xf numFmtId="0" fontId="32" fillId="0" borderId="61" xfId="0" applyFont="1" applyBorder="1" applyAlignment="1">
      <alignment horizontal="left" vertical="center"/>
    </xf>
    <xf numFmtId="0" fontId="32" fillId="0" borderId="61" xfId="0" applyFont="1" applyBorder="1" applyAlignment="1">
      <alignment horizontal="center" vertical="center"/>
    </xf>
    <xf numFmtId="0" fontId="32" fillId="0" borderId="3" xfId="0" applyFont="1" applyBorder="1" applyAlignment="1">
      <alignment horizontal="center" vertical="center"/>
    </xf>
    <xf numFmtId="0" fontId="32" fillId="0" borderId="2" xfId="0" applyFont="1" applyBorder="1" applyAlignment="1">
      <alignment horizontal="center" vertical="center"/>
    </xf>
    <xf numFmtId="0" fontId="32" fillId="0" borderId="6" xfId="0" applyFont="1" applyBorder="1" applyAlignment="1">
      <alignment horizontal="left" vertical="center" wrapText="1"/>
    </xf>
    <xf numFmtId="0" fontId="32" fillId="0" borderId="1" xfId="0" applyFont="1" applyBorder="1" applyAlignment="1">
      <alignment horizontal="left" vertical="center" wrapText="1"/>
    </xf>
    <xf numFmtId="0" fontId="32" fillId="0" borderId="2" xfId="0" applyFont="1" applyBorder="1" applyAlignment="1">
      <alignment horizontal="left" vertical="center" wrapText="1"/>
    </xf>
    <xf numFmtId="0" fontId="32" fillId="0" borderId="14" xfId="0" applyFont="1" applyBorder="1" applyAlignment="1">
      <alignment horizontal="left" vertical="center"/>
    </xf>
    <xf numFmtId="0" fontId="32" fillId="0" borderId="9" xfId="0" applyFont="1" applyBorder="1" applyAlignment="1">
      <alignment horizontal="center" vertical="center"/>
    </xf>
    <xf numFmtId="0" fontId="32" fillId="0" borderId="3" xfId="0" applyFont="1" applyBorder="1" applyAlignment="1">
      <alignment horizontal="left" vertical="center" wrapText="1"/>
    </xf>
    <xf numFmtId="0" fontId="33" fillId="0" borderId="12" xfId="0" applyFont="1" applyBorder="1" applyAlignment="1">
      <alignment vertical="center" wrapText="1"/>
    </xf>
    <xf numFmtId="0" fontId="33" fillId="0" borderId="2" xfId="0" applyFont="1" applyBorder="1" applyAlignment="1">
      <alignment vertical="center" wrapText="1"/>
    </xf>
    <xf numFmtId="0" fontId="33" fillId="0" borderId="22" xfId="0" applyFont="1" applyBorder="1" applyAlignment="1">
      <alignment vertical="center" wrapText="1"/>
    </xf>
    <xf numFmtId="0" fontId="32" fillId="0" borderId="10" xfId="0" applyFont="1" applyBorder="1" applyAlignment="1">
      <alignment horizontal="left" vertical="center" wrapText="1"/>
    </xf>
    <xf numFmtId="0" fontId="32" fillId="0" borderId="21" xfId="0" applyFont="1" applyBorder="1" applyAlignment="1">
      <alignment horizontal="left" vertical="center"/>
    </xf>
    <xf numFmtId="0" fontId="32" fillId="0" borderId="21" xfId="0" applyFont="1" applyBorder="1" applyAlignment="1">
      <alignment horizontal="center" vertical="center"/>
    </xf>
    <xf numFmtId="0" fontId="32" fillId="0" borderId="20" xfId="0" applyFont="1" applyBorder="1" applyAlignment="1">
      <alignment horizontal="left" vertical="center"/>
    </xf>
    <xf numFmtId="0" fontId="32" fillId="0" borderId="20" xfId="0" applyFont="1" applyBorder="1" applyAlignment="1">
      <alignment horizontal="center" vertical="center"/>
    </xf>
    <xf numFmtId="167" fontId="25" fillId="0" borderId="88" xfId="7" applyNumberFormat="1" applyFont="1" applyBorder="1" applyAlignment="1">
      <alignment vertical="center"/>
    </xf>
    <xf numFmtId="167" fontId="25" fillId="0" borderId="86" xfId="7" applyNumberFormat="1" applyFont="1" applyBorder="1" applyAlignment="1">
      <alignment vertical="center"/>
    </xf>
    <xf numFmtId="167" fontId="25" fillId="0" borderId="87" xfId="7" applyNumberFormat="1" applyFont="1" applyBorder="1" applyAlignment="1">
      <alignment vertical="center" wrapText="1"/>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42" fillId="0" borderId="23" xfId="0" applyFont="1" applyBorder="1" applyAlignment="1">
      <alignment vertical="top" wrapText="1"/>
    </xf>
    <xf numFmtId="0" fontId="7" fillId="3" borderId="97" xfId="0" applyFont="1" applyFill="1" applyBorder="1" applyAlignment="1">
      <alignment horizontal="center" vertical="center" wrapText="1"/>
    </xf>
    <xf numFmtId="0" fontId="32" fillId="0" borderId="28" xfId="0" applyFont="1" applyBorder="1" applyAlignment="1">
      <alignment vertical="top" wrapText="1"/>
    </xf>
    <xf numFmtId="0" fontId="32" fillId="0" borderId="29" xfId="0" applyFont="1" applyBorder="1" applyAlignment="1">
      <alignment vertical="top" wrapText="1"/>
    </xf>
    <xf numFmtId="0" fontId="11" fillId="0" borderId="30" xfId="0" applyFont="1" applyBorder="1" applyAlignment="1">
      <alignment horizontal="left" vertical="top" wrapText="1"/>
    </xf>
    <xf numFmtId="0" fontId="32" fillId="0" borderId="30" xfId="0" applyFont="1" applyBorder="1" applyAlignment="1">
      <alignment vertical="top" wrapText="1"/>
    </xf>
    <xf numFmtId="167" fontId="33" fillId="0" borderId="40" xfId="7" applyNumberFormat="1" applyFont="1" applyFill="1" applyBorder="1" applyAlignment="1">
      <alignment horizontal="left" vertical="center" wrapText="1"/>
    </xf>
    <xf numFmtId="167" fontId="33" fillId="0" borderId="43" xfId="7" applyNumberFormat="1" applyFont="1" applyFill="1" applyBorder="1" applyAlignment="1">
      <alignment horizontal="left" vertical="center" wrapText="1"/>
    </xf>
    <xf numFmtId="0" fontId="33" fillId="0" borderId="41" xfId="0" applyFont="1" applyBorder="1" applyAlignment="1">
      <alignment horizontal="left" vertical="center" wrapText="1"/>
    </xf>
    <xf numFmtId="0" fontId="33" fillId="0" borderId="46" xfId="0" applyFont="1" applyBorder="1" applyAlignment="1">
      <alignment horizontal="left" vertical="center" wrapText="1"/>
    </xf>
    <xf numFmtId="0" fontId="33" fillId="0" borderId="43" xfId="0" applyFont="1" applyBorder="1" applyAlignment="1">
      <alignment horizontal="left" vertical="center" wrapText="1"/>
    </xf>
    <xf numFmtId="0" fontId="36" fillId="0" borderId="32" xfId="0" applyFont="1" applyBorder="1" applyAlignment="1">
      <alignment vertical="center" wrapText="1"/>
    </xf>
    <xf numFmtId="0" fontId="33" fillId="0" borderId="39" xfId="0" applyFont="1" applyBorder="1" applyAlignment="1">
      <alignment vertical="center" wrapText="1"/>
    </xf>
    <xf numFmtId="0" fontId="33" fillId="0" borderId="38" xfId="0" applyFont="1" applyBorder="1" applyAlignment="1">
      <alignment vertical="center" wrapText="1"/>
    </xf>
    <xf numFmtId="0" fontId="33" fillId="0" borderId="45" xfId="0" applyFont="1" applyBorder="1" applyAlignment="1">
      <alignment vertical="center" wrapText="1"/>
    </xf>
    <xf numFmtId="0" fontId="33" fillId="0" borderId="38" xfId="0" applyFont="1" applyBorder="1" applyAlignment="1">
      <alignment horizontal="left" vertical="center" wrapText="1"/>
    </xf>
    <xf numFmtId="0" fontId="33" fillId="0" borderId="45" xfId="0" applyFont="1" applyBorder="1" applyAlignment="1">
      <alignment horizontal="left" vertical="center" wrapText="1"/>
    </xf>
    <xf numFmtId="0" fontId="33" fillId="0" borderId="55" xfId="0" applyFont="1" applyBorder="1" applyAlignment="1">
      <alignment horizontal="center" vertical="center" wrapText="1"/>
    </xf>
    <xf numFmtId="0" fontId="33" fillId="0" borderId="38" xfId="0" applyFont="1" applyBorder="1" applyAlignment="1">
      <alignment horizontal="center" vertical="center" wrapText="1"/>
    </xf>
    <xf numFmtId="0" fontId="33" fillId="0" borderId="36" xfId="0" applyFont="1" applyBorder="1" applyAlignment="1">
      <alignment horizontal="center" vertical="center" wrapText="1"/>
    </xf>
    <xf numFmtId="0" fontId="33" fillId="0" borderId="34" xfId="0" applyFont="1" applyBorder="1" applyAlignment="1">
      <alignment horizontal="center" vertical="center" wrapText="1"/>
    </xf>
    <xf numFmtId="0" fontId="33" fillId="0" borderId="39" xfId="0" applyFont="1" applyBorder="1" applyAlignment="1">
      <alignment horizontal="center" vertical="center" wrapText="1"/>
    </xf>
    <xf numFmtId="0" fontId="33" fillId="0" borderId="52" xfId="0" applyFont="1" applyBorder="1" applyAlignment="1">
      <alignment horizontal="center" vertical="center" wrapText="1"/>
    </xf>
    <xf numFmtId="0" fontId="33" fillId="0" borderId="34" xfId="0" applyFont="1" applyBorder="1" applyAlignment="1">
      <alignment horizontal="left" vertical="center" wrapText="1"/>
    </xf>
    <xf numFmtId="0" fontId="33" fillId="0" borderId="35" xfId="0" applyFont="1" applyBorder="1" applyAlignment="1">
      <alignment horizontal="center" vertical="center" wrapText="1"/>
    </xf>
    <xf numFmtId="0" fontId="36" fillId="0" borderId="38" xfId="0" applyFont="1" applyBorder="1" applyAlignment="1">
      <alignment vertical="center" wrapText="1"/>
    </xf>
    <xf numFmtId="0" fontId="36" fillId="0" borderId="40" xfId="0" applyFont="1" applyBorder="1" applyAlignment="1">
      <alignment vertical="center" wrapText="1"/>
    </xf>
    <xf numFmtId="0" fontId="33" fillId="0" borderId="0" xfId="0" applyFont="1" applyAlignment="1">
      <alignment vertical="center" wrapText="1"/>
    </xf>
    <xf numFmtId="0" fontId="45" fillId="0" borderId="0" xfId="0" applyFont="1" applyAlignment="1">
      <alignment vertical="center"/>
    </xf>
    <xf numFmtId="0" fontId="28" fillId="0" borderId="13" xfId="0" applyFont="1" applyBorder="1" applyAlignment="1">
      <alignment horizontal="left" vertical="center" wrapText="1"/>
    </xf>
    <xf numFmtId="0" fontId="28" fillId="0" borderId="13" xfId="0" applyFont="1" applyBorder="1" applyAlignment="1">
      <alignment horizontal="center" vertical="center" wrapText="1"/>
    </xf>
    <xf numFmtId="0" fontId="46" fillId="0" borderId="13" xfId="0" applyFont="1" applyBorder="1" applyAlignment="1">
      <alignment vertical="center" wrapText="1"/>
    </xf>
    <xf numFmtId="0" fontId="32" fillId="0" borderId="3"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3" fontId="25" fillId="0" borderId="0" xfId="0" applyNumberFormat="1" applyFont="1" applyAlignment="1">
      <alignment vertical="center"/>
    </xf>
    <xf numFmtId="0" fontId="47" fillId="0" borderId="0" xfId="0" applyFont="1" applyAlignment="1">
      <alignment horizontal="right" vertical="center"/>
    </xf>
    <xf numFmtId="0" fontId="48" fillId="0" borderId="0" xfId="0" applyFont="1" applyAlignment="1">
      <alignment vertical="center"/>
    </xf>
    <xf numFmtId="0" fontId="27" fillId="0" borderId="0" xfId="0" applyFont="1" applyAlignment="1">
      <alignment vertical="center"/>
    </xf>
    <xf numFmtId="0" fontId="49" fillId="0" borderId="0" xfId="0" applyFont="1" applyAlignment="1">
      <alignment vertical="center" wrapText="1"/>
    </xf>
    <xf numFmtId="0" fontId="50" fillId="0" borderId="0" xfId="0" applyFont="1" applyAlignment="1">
      <alignment vertical="center" wrapText="1"/>
    </xf>
    <xf numFmtId="0" fontId="32" fillId="0" borderId="42" xfId="0" applyFont="1" applyBorder="1" applyAlignment="1">
      <alignment vertical="center" wrapText="1"/>
    </xf>
    <xf numFmtId="0" fontId="32" fillId="0" borderId="42" xfId="0" applyFont="1" applyBorder="1" applyAlignment="1">
      <alignment horizontal="left" vertical="center" wrapText="1"/>
    </xf>
    <xf numFmtId="0" fontId="33" fillId="0" borderId="9" xfId="0" applyFont="1" applyBorder="1" applyAlignment="1">
      <alignment vertical="center" wrapText="1"/>
    </xf>
    <xf numFmtId="0" fontId="25" fillId="0" borderId="67" xfId="0" applyFont="1" applyBorder="1" applyAlignment="1">
      <alignment vertical="center" wrapText="1"/>
    </xf>
    <xf numFmtId="0" fontId="27" fillId="0" borderId="103" xfId="0" applyFont="1" applyBorder="1" applyAlignment="1">
      <alignment vertical="center" wrapText="1"/>
    </xf>
    <xf numFmtId="0" fontId="25" fillId="0" borderId="103" xfId="0" applyFont="1" applyBorder="1" applyAlignment="1">
      <alignment horizontal="center" vertical="center" wrapText="1"/>
    </xf>
    <xf numFmtId="0" fontId="27" fillId="0" borderId="104" xfId="0" applyFont="1" applyBorder="1" applyAlignment="1">
      <alignment vertical="center" wrapText="1"/>
    </xf>
    <xf numFmtId="0" fontId="25" fillId="0" borderId="104" xfId="0" applyFont="1" applyBorder="1" applyAlignment="1">
      <alignment horizontal="center" vertical="center" wrapText="1"/>
    </xf>
    <xf numFmtId="0" fontId="25" fillId="0" borderId="105" xfId="0" applyFont="1" applyBorder="1" applyAlignment="1">
      <alignment horizontal="left" vertical="center" wrapText="1"/>
    </xf>
    <xf numFmtId="0" fontId="25" fillId="0" borderId="105" xfId="0" applyFont="1" applyBorder="1" applyAlignment="1">
      <alignment horizontal="center" vertical="center" wrapText="1"/>
    </xf>
    <xf numFmtId="0" fontId="32" fillId="0" borderId="14" xfId="0" applyFont="1" applyBorder="1" applyAlignment="1">
      <alignment horizontal="left" vertical="center" wrapText="1"/>
    </xf>
    <xf numFmtId="0" fontId="25" fillId="0" borderId="0" xfId="0" applyFont="1" applyBorder="1" applyAlignment="1">
      <alignment vertical="center"/>
    </xf>
    <xf numFmtId="0" fontId="27" fillId="0" borderId="0" xfId="0" applyFont="1" applyBorder="1" applyAlignment="1">
      <alignment vertical="center"/>
    </xf>
    <xf numFmtId="0" fontId="27" fillId="0" borderId="0" xfId="0" applyFont="1" applyAlignment="1">
      <alignment horizontal="left" vertical="center" indent="1"/>
    </xf>
    <xf numFmtId="0" fontId="27" fillId="0" borderId="0" xfId="0" applyFont="1" applyAlignment="1">
      <alignment horizontal="left" vertical="center" wrapText="1"/>
    </xf>
    <xf numFmtId="0" fontId="27" fillId="0" borderId="0" xfId="0" applyFont="1" applyAlignment="1">
      <alignment horizontal="center" vertical="center"/>
    </xf>
    <xf numFmtId="0" fontId="27" fillId="0" borderId="0" xfId="0" applyFont="1" applyFill="1" applyAlignment="1">
      <alignment vertical="center"/>
    </xf>
    <xf numFmtId="0" fontId="27" fillId="0" borderId="0" xfId="0" applyFont="1" applyAlignment="1">
      <alignment horizontal="center" vertical="center" wrapText="1"/>
    </xf>
    <xf numFmtId="0" fontId="39" fillId="0" borderId="0" xfId="0" applyFont="1" applyFill="1" applyAlignment="1">
      <alignment vertical="center" wrapText="1"/>
    </xf>
    <xf numFmtId="0" fontId="39" fillId="0" borderId="0" xfId="0" applyFont="1" applyFill="1" applyAlignment="1">
      <alignment vertical="center"/>
    </xf>
    <xf numFmtId="0" fontId="25" fillId="0" borderId="0" xfId="0" applyFont="1"/>
    <xf numFmtId="0" fontId="25" fillId="0" borderId="14" xfId="0" applyFont="1" applyBorder="1" applyAlignment="1">
      <alignment vertical="center" wrapText="1"/>
    </xf>
    <xf numFmtId="0" fontId="25" fillId="0" borderId="13" xfId="0" applyFont="1" applyBorder="1" applyAlignment="1">
      <alignment vertical="center" wrapText="1"/>
    </xf>
    <xf numFmtId="0" fontId="25" fillId="0" borderId="6" xfId="0" applyFont="1" applyBorder="1" applyAlignment="1">
      <alignment vertical="center" wrapText="1"/>
    </xf>
    <xf numFmtId="0" fontId="32" fillId="0" borderId="13" xfId="0" applyFont="1" applyBorder="1" applyAlignment="1">
      <alignment vertical="center" wrapText="1"/>
    </xf>
    <xf numFmtId="0" fontId="7" fillId="2" borderId="99" xfId="0" applyFont="1" applyFill="1" applyBorder="1" applyAlignment="1">
      <alignment vertical="center"/>
    </xf>
    <xf numFmtId="0" fontId="32" fillId="0" borderId="5" xfId="0" applyFont="1" applyBorder="1" applyAlignment="1">
      <alignment vertical="center"/>
    </xf>
    <xf numFmtId="0" fontId="32" fillId="0" borderId="13" xfId="0" applyFont="1" applyBorder="1" applyAlignment="1">
      <alignment vertical="center"/>
    </xf>
    <xf numFmtId="0" fontId="32" fillId="0" borderId="3" xfId="0" applyFont="1" applyBorder="1" applyAlignment="1">
      <alignment vertical="center"/>
    </xf>
    <xf numFmtId="0" fontId="32" fillId="0" borderId="17" xfId="0" applyFont="1" applyBorder="1" applyAlignment="1">
      <alignment vertical="center" wrapText="1"/>
    </xf>
    <xf numFmtId="0" fontId="38" fillId="0" borderId="0" xfId="0" applyFont="1" applyAlignment="1">
      <alignment horizontal="center" wrapText="1"/>
    </xf>
    <xf numFmtId="0" fontId="38" fillId="0" borderId="0" xfId="0" applyFont="1" applyAlignment="1">
      <alignment horizontal="center"/>
    </xf>
    <xf numFmtId="0" fontId="25" fillId="0" borderId="56" xfId="0" applyFont="1" applyBorder="1" applyAlignment="1">
      <alignment horizontal="left" vertical="center" indent="1"/>
    </xf>
    <xf numFmtId="0" fontId="25" fillId="0" borderId="57" xfId="0" applyFont="1" applyBorder="1" applyAlignment="1">
      <alignment horizontal="left" vertical="center" indent="1"/>
    </xf>
    <xf numFmtId="0" fontId="25" fillId="0" borderId="74" xfId="0" applyFont="1" applyBorder="1" applyAlignment="1">
      <alignment vertical="center"/>
    </xf>
    <xf numFmtId="0" fontId="25" fillId="0" borderId="76" xfId="0" applyFont="1" applyBorder="1" applyAlignment="1">
      <alignment vertical="center"/>
    </xf>
    <xf numFmtId="0" fontId="25" fillId="0" borderId="78" xfId="0" applyFont="1" applyBorder="1" applyAlignment="1">
      <alignment vertical="center"/>
    </xf>
    <xf numFmtId="0" fontId="25" fillId="0" borderId="7" xfId="0" applyFont="1" applyBorder="1" applyAlignment="1">
      <alignment vertical="center" wrapText="1"/>
    </xf>
    <xf numFmtId="0" fontId="25" fillId="0" borderId="9" xfId="0" applyFont="1" applyBorder="1" applyAlignment="1">
      <alignment vertical="center" wrapText="1"/>
    </xf>
    <xf numFmtId="0" fontId="25" fillId="0" borderId="7" xfId="0" applyFont="1" applyBorder="1" applyAlignment="1">
      <alignment horizontal="left" vertical="center" wrapText="1"/>
    </xf>
    <xf numFmtId="0" fontId="25" fillId="0" borderId="9" xfId="0" applyFont="1" applyBorder="1" applyAlignment="1">
      <alignment horizontal="left" vertical="center" wrapText="1"/>
    </xf>
    <xf numFmtId="0" fontId="25" fillId="0" borderId="80" xfId="0" applyFont="1" applyBorder="1" applyAlignment="1">
      <alignment vertical="center"/>
    </xf>
    <xf numFmtId="0" fontId="25" fillId="0" borderId="78" xfId="0" applyFont="1" applyBorder="1" applyAlignment="1">
      <alignment horizontal="left" vertical="center"/>
    </xf>
    <xf numFmtId="0" fontId="25" fillId="0" borderId="74" xfId="0" applyFont="1" applyBorder="1" applyAlignment="1">
      <alignment horizontal="left" vertical="center"/>
    </xf>
    <xf numFmtId="0" fontId="25" fillId="0" borderId="76" xfId="0" applyFont="1" applyBorder="1" applyAlignment="1">
      <alignment horizontal="left" vertical="center"/>
    </xf>
    <xf numFmtId="0" fontId="25" fillId="0" borderId="6" xfId="0" applyFont="1" applyBorder="1" applyAlignment="1">
      <alignment horizontal="left" vertical="center" wrapText="1" indent="1"/>
    </xf>
    <xf numFmtId="0" fontId="25" fillId="0" borderId="1" xfId="0" applyFont="1" applyBorder="1" applyAlignment="1">
      <alignment horizontal="left" vertical="center" wrapText="1" indent="1"/>
    </xf>
    <xf numFmtId="0" fontId="25" fillId="0" borderId="4" xfId="0" applyFont="1" applyBorder="1" applyAlignment="1">
      <alignment horizontal="left" vertical="center" wrapText="1" indent="1"/>
    </xf>
    <xf numFmtId="0" fontId="25" fillId="0" borderId="10" xfId="0" applyFont="1" applyBorder="1" applyAlignment="1">
      <alignment horizontal="left" vertical="center" wrapText="1" indent="1"/>
    </xf>
    <xf numFmtId="0" fontId="25" fillId="0" borderId="21" xfId="0" applyFont="1" applyBorder="1" applyAlignment="1">
      <alignment vertical="center" wrapText="1"/>
    </xf>
    <xf numFmtId="0" fontId="25" fillId="0" borderId="1" xfId="0" applyFont="1" applyBorder="1" applyAlignment="1">
      <alignment vertical="center" wrapText="1"/>
    </xf>
    <xf numFmtId="0" fontId="25" fillId="0" borderId="4" xfId="0" applyFont="1" applyBorder="1" applyAlignment="1">
      <alignment vertical="center" wrapText="1"/>
    </xf>
    <xf numFmtId="0" fontId="25" fillId="0" borderId="14" xfId="0" applyFont="1" applyBorder="1" applyAlignment="1">
      <alignment horizontal="left" vertical="center" wrapText="1" indent="1"/>
    </xf>
    <xf numFmtId="0" fontId="25" fillId="0" borderId="14" xfId="0" applyFont="1" applyBorder="1" applyAlignment="1">
      <alignment vertical="center" wrapText="1"/>
    </xf>
    <xf numFmtId="0" fontId="25" fillId="0" borderId="10" xfId="0" applyFont="1" applyBorder="1" applyAlignment="1">
      <alignment vertical="center" wrapText="1"/>
    </xf>
    <xf numFmtId="0" fontId="25" fillId="0" borderId="20" xfId="0" applyFont="1" applyBorder="1" applyAlignment="1">
      <alignment horizontal="left" vertical="center" wrapText="1" indent="1"/>
    </xf>
    <xf numFmtId="0" fontId="25" fillId="0" borderId="21" xfId="0" applyFont="1" applyBorder="1" applyAlignment="1">
      <alignment horizontal="left" vertical="center" wrapText="1" indent="1"/>
    </xf>
    <xf numFmtId="0" fontId="25" fillId="0" borderId="54" xfId="0" applyFont="1" applyBorder="1" applyAlignment="1">
      <alignment horizontal="left" vertical="center" wrapText="1" indent="1"/>
    </xf>
    <xf numFmtId="0" fontId="25" fillId="0" borderId="5" xfId="0" applyFont="1" applyBorder="1" applyAlignment="1">
      <alignment horizontal="left" vertical="center" wrapText="1" indent="1"/>
    </xf>
    <xf numFmtId="0" fontId="25" fillId="0" borderId="22" xfId="0" applyFont="1" applyBorder="1" applyAlignment="1">
      <alignment horizontal="left" vertical="center" wrapText="1" indent="1"/>
    </xf>
    <xf numFmtId="0" fontId="25" fillId="0" borderId="13" xfId="0" applyFont="1" applyBorder="1" applyAlignment="1">
      <alignment vertical="center" wrapText="1"/>
    </xf>
    <xf numFmtId="0" fontId="25" fillId="0" borderId="5" xfId="0" applyFont="1" applyBorder="1" applyAlignment="1">
      <alignment vertical="center" wrapText="1"/>
    </xf>
    <xf numFmtId="0" fontId="25" fillId="0" borderId="13" xfId="0" applyFont="1" applyBorder="1" applyAlignment="1">
      <alignment horizontal="left" vertical="center" wrapText="1" indent="1"/>
    </xf>
    <xf numFmtId="0" fontId="25" fillId="0" borderId="9" xfId="0" applyFont="1" applyBorder="1" applyAlignment="1">
      <alignment horizontal="left" vertical="center" wrapText="1" indent="1"/>
    </xf>
    <xf numFmtId="0" fontId="26" fillId="0" borderId="79" xfId="0" applyFont="1" applyBorder="1" applyAlignment="1">
      <alignment vertical="center" wrapText="1"/>
    </xf>
    <xf numFmtId="0" fontId="26" fillId="0" borderId="75" xfId="0" applyFont="1" applyBorder="1" applyAlignment="1">
      <alignment vertical="center" wrapText="1"/>
    </xf>
    <xf numFmtId="0" fontId="26" fillId="0" borderId="79" xfId="0" applyFont="1" applyBorder="1" applyAlignment="1">
      <alignment horizontal="left" vertical="center" wrapText="1"/>
    </xf>
    <xf numFmtId="0" fontId="26" fillId="0" borderId="75" xfId="0" applyFont="1" applyBorder="1" applyAlignment="1">
      <alignment horizontal="left" vertical="center" wrapText="1"/>
    </xf>
    <xf numFmtId="0" fontId="26" fillId="0" borderId="77" xfId="0" applyFont="1" applyBorder="1" applyAlignment="1">
      <alignment horizontal="lef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6" fillId="0" borderId="81" xfId="0" applyFont="1" applyBorder="1" applyAlignment="1">
      <alignment vertical="center" wrapText="1"/>
    </xf>
    <xf numFmtId="0" fontId="26" fillId="0" borderId="77" xfId="0" applyFont="1" applyBorder="1" applyAlignment="1">
      <alignment vertical="center" wrapText="1"/>
    </xf>
    <xf numFmtId="0" fontId="26" fillId="0" borderId="32" xfId="0" applyFont="1" applyBorder="1" applyAlignment="1">
      <alignment vertical="center" wrapText="1"/>
    </xf>
    <xf numFmtId="0" fontId="26" fillId="0" borderId="38" xfId="0" applyFont="1" applyBorder="1" applyAlignment="1">
      <alignment vertical="center" wrapText="1"/>
    </xf>
    <xf numFmtId="0" fontId="26" fillId="0" borderId="40" xfId="0" applyFont="1" applyBorder="1" applyAlignment="1">
      <alignment vertical="center" wrapText="1"/>
    </xf>
    <xf numFmtId="0" fontId="26" fillId="0" borderId="79" xfId="0" quotePrefix="1" applyFont="1" applyBorder="1" applyAlignment="1">
      <alignment vertical="center" wrapText="1"/>
    </xf>
    <xf numFmtId="0" fontId="33" fillId="0" borderId="7" xfId="0" applyFont="1" applyBorder="1" applyAlignment="1">
      <alignment horizontal="left" vertical="center" wrapText="1"/>
    </xf>
    <xf numFmtId="0" fontId="33" fillId="0" borderId="9" xfId="0" applyFont="1" applyBorder="1" applyAlignment="1">
      <alignment horizontal="left" vertical="center" wrapText="1"/>
    </xf>
    <xf numFmtId="0" fontId="33" fillId="0" borderId="5" xfId="0" applyFont="1" applyBorder="1" applyAlignment="1">
      <alignment horizontal="left" vertical="center" wrapText="1"/>
    </xf>
    <xf numFmtId="0" fontId="33" fillId="0" borderId="44" xfId="0" applyFont="1" applyBorder="1" applyAlignment="1">
      <alignment horizontal="left" vertical="center" wrapText="1"/>
    </xf>
    <xf numFmtId="0" fontId="25" fillId="0" borderId="31" xfId="0" applyFont="1" applyBorder="1" applyAlignment="1">
      <alignment horizontal="left" vertical="center" wrapText="1" indent="1"/>
    </xf>
    <xf numFmtId="0" fontId="25" fillId="0" borderId="56" xfId="0" applyFont="1" applyBorder="1" applyAlignment="1">
      <alignment horizontal="left" vertical="center" wrapText="1" indent="1"/>
    </xf>
    <xf numFmtId="0" fontId="25" fillId="0" borderId="57" xfId="0" applyFont="1" applyBorder="1" applyAlignment="1">
      <alignment horizontal="left" vertical="center" wrapText="1" indent="1"/>
    </xf>
    <xf numFmtId="0" fontId="25" fillId="0" borderId="13" xfId="0" applyFont="1" applyBorder="1" applyAlignment="1">
      <alignment horizontal="left" vertical="center" wrapText="1"/>
    </xf>
    <xf numFmtId="0" fontId="25" fillId="0" borderId="5" xfId="0" applyFont="1" applyBorder="1" applyAlignment="1">
      <alignment horizontal="left" vertical="center" wrapText="1"/>
    </xf>
    <xf numFmtId="0" fontId="25" fillId="0" borderId="44" xfId="0" applyFont="1" applyBorder="1" applyAlignment="1">
      <alignment horizontal="left" vertical="center" wrapText="1"/>
    </xf>
    <xf numFmtId="0" fontId="25" fillId="0" borderId="44" xfId="0" applyFont="1" applyBorder="1" applyAlignment="1">
      <alignment vertical="center" wrapText="1"/>
    </xf>
    <xf numFmtId="0" fontId="33" fillId="0" borderId="13" xfId="0" applyFont="1" applyBorder="1" applyAlignment="1">
      <alignment horizontal="left" vertical="center" wrapText="1"/>
    </xf>
    <xf numFmtId="0" fontId="33" fillId="0" borderId="7" xfId="0" applyFont="1" applyBorder="1" applyAlignment="1">
      <alignment vertical="center" wrapText="1"/>
    </xf>
    <xf numFmtId="0" fontId="33" fillId="0" borderId="5" xfId="0" applyFont="1" applyBorder="1" applyAlignment="1">
      <alignment vertical="center" wrapText="1"/>
    </xf>
    <xf numFmtId="0" fontId="33" fillId="0" borderId="44" xfId="0" applyFont="1" applyBorder="1" applyAlignment="1">
      <alignment vertical="center" wrapText="1"/>
    </xf>
    <xf numFmtId="0" fontId="33" fillId="0" borderId="13" xfId="0" applyFont="1" applyFill="1" applyBorder="1" applyAlignment="1">
      <alignment vertical="center" wrapText="1"/>
    </xf>
    <xf numFmtId="0" fontId="33" fillId="0" borderId="44" xfId="0" applyFont="1" applyFill="1" applyBorder="1" applyAlignment="1">
      <alignment vertical="center" wrapText="1"/>
    </xf>
    <xf numFmtId="0" fontId="33" fillId="0" borderId="7" xfId="0" applyFont="1" applyFill="1" applyBorder="1" applyAlignment="1">
      <alignment horizontal="left" vertical="center" wrapText="1"/>
    </xf>
    <xf numFmtId="0" fontId="33" fillId="0" borderId="5" xfId="0" applyFont="1" applyFill="1" applyBorder="1" applyAlignment="1">
      <alignment horizontal="left" vertical="center" wrapText="1"/>
    </xf>
    <xf numFmtId="0" fontId="33" fillId="0" borderId="9" xfId="0" applyFont="1" applyFill="1" applyBorder="1" applyAlignment="1">
      <alignment horizontal="left" vertical="center" wrapText="1"/>
    </xf>
    <xf numFmtId="0" fontId="33" fillId="0" borderId="44" xfId="0" applyFont="1" applyFill="1" applyBorder="1" applyAlignment="1">
      <alignment horizontal="left" vertical="center" wrapText="1"/>
    </xf>
    <xf numFmtId="0" fontId="32" fillId="0" borderId="4" xfId="0" applyFont="1" applyBorder="1" applyAlignment="1">
      <alignment horizontal="left" vertical="center" wrapText="1"/>
    </xf>
    <xf numFmtId="0" fontId="32" fillId="0" borderId="44" xfId="0" applyFont="1" applyBorder="1" applyAlignment="1">
      <alignment horizontal="left" vertical="center" wrapText="1"/>
    </xf>
    <xf numFmtId="0" fontId="32" fillId="0" borderId="7" xfId="0" applyFont="1" applyBorder="1" applyAlignment="1">
      <alignment horizontal="left" vertical="center" wrapText="1"/>
    </xf>
    <xf numFmtId="0" fontId="32" fillId="0" borderId="6" xfId="0" applyFont="1" applyBorder="1" applyAlignment="1">
      <alignment horizontal="left" vertical="center" wrapText="1"/>
    </xf>
    <xf numFmtId="0" fontId="32" fillId="0" borderId="1" xfId="0" applyFont="1" applyBorder="1" applyAlignment="1">
      <alignment horizontal="left" vertical="center" wrapText="1"/>
    </xf>
    <xf numFmtId="0" fontId="32" fillId="0" borderId="5" xfId="0" applyFont="1" applyBorder="1" applyAlignment="1">
      <alignment horizontal="left" vertical="center" wrapText="1"/>
    </xf>
    <xf numFmtId="0" fontId="25" fillId="0" borderId="4" xfId="0" applyFont="1" applyBorder="1" applyAlignment="1">
      <alignment horizontal="left" vertical="center" wrapText="1"/>
    </xf>
    <xf numFmtId="0" fontId="25" fillId="0" borderId="6" xfId="0" applyFont="1" applyBorder="1" applyAlignment="1">
      <alignment horizontal="left" vertical="center" wrapText="1"/>
    </xf>
    <xf numFmtId="0" fontId="32" fillId="0" borderId="13" xfId="0" applyFont="1" applyBorder="1" applyAlignment="1">
      <alignment horizontal="left" vertical="center" wrapText="1"/>
    </xf>
    <xf numFmtId="0" fontId="25" fillId="0" borderId="99" xfId="0" applyFont="1" applyBorder="1" applyAlignment="1">
      <alignment horizontal="left" vertical="center" wrapText="1" indent="1"/>
    </xf>
    <xf numFmtId="0" fontId="25" fillId="0" borderId="102" xfId="0" applyFont="1" applyBorder="1" applyAlignment="1">
      <alignment horizontal="left" vertical="center" wrapText="1" indent="1"/>
    </xf>
    <xf numFmtId="0" fontId="32" fillId="0" borderId="3" xfId="0" applyFont="1" applyBorder="1" applyAlignment="1">
      <alignment vertical="center" wrapText="1"/>
    </xf>
    <xf numFmtId="0" fontId="32" fillId="0" borderId="1" xfId="0" applyFont="1" applyBorder="1" applyAlignment="1">
      <alignment vertical="center" wrapText="1"/>
    </xf>
    <xf numFmtId="0" fontId="32" fillId="0" borderId="2" xfId="0" applyFont="1" applyBorder="1" applyAlignment="1">
      <alignment vertical="center" wrapText="1"/>
    </xf>
    <xf numFmtId="0" fontId="25" fillId="0" borderId="2" xfId="0" applyFont="1" applyBorder="1" applyAlignment="1">
      <alignment horizontal="left" vertical="center" wrapText="1" indent="1"/>
    </xf>
    <xf numFmtId="0" fontId="32"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1" xfId="0" applyFont="1" applyBorder="1" applyAlignment="1">
      <alignment horizontal="left" vertical="center" wrapText="1"/>
    </xf>
    <xf numFmtId="0" fontId="25" fillId="0" borderId="2" xfId="0" applyFont="1" applyBorder="1" applyAlignment="1">
      <alignment horizontal="left" vertical="center" wrapText="1"/>
    </xf>
    <xf numFmtId="0" fontId="25" fillId="0" borderId="49" xfId="0" applyFont="1" applyBorder="1" applyAlignment="1">
      <alignment horizontal="left" vertical="center" wrapText="1" indent="1"/>
    </xf>
    <xf numFmtId="0" fontId="25" fillId="0" borderId="50" xfId="0" applyFont="1" applyBorder="1" applyAlignment="1">
      <alignment horizontal="left" vertical="center" wrapText="1" indent="1"/>
    </xf>
    <xf numFmtId="0" fontId="25" fillId="0" borderId="51" xfId="0" applyFont="1" applyBorder="1" applyAlignment="1">
      <alignment horizontal="left" vertical="center" wrapText="1" indent="1"/>
    </xf>
    <xf numFmtId="0" fontId="32" fillId="0" borderId="10" xfId="0" applyFont="1" applyBorder="1" applyAlignment="1">
      <alignment vertical="center" wrapText="1"/>
    </xf>
    <xf numFmtId="0" fontId="32" fillId="0" borderId="14" xfId="0" applyFont="1" applyBorder="1" applyAlignment="1">
      <alignment vertical="center" wrapText="1"/>
    </xf>
    <xf numFmtId="0" fontId="32" fillId="0" borderId="6" xfId="0" applyFont="1" applyBorder="1" applyAlignment="1">
      <alignment vertical="center" wrapText="1"/>
    </xf>
    <xf numFmtId="0" fontId="25" fillId="0" borderId="31" xfId="0" applyFont="1" applyBorder="1" applyAlignment="1">
      <alignment vertical="center" wrapText="1"/>
    </xf>
    <xf numFmtId="0" fontId="25" fillId="0" borderId="56" xfId="0" applyFont="1" applyBorder="1" applyAlignment="1">
      <alignment vertical="center" wrapText="1"/>
    </xf>
    <xf numFmtId="0" fontId="25" fillId="0" borderId="57" xfId="0" applyFont="1" applyBorder="1" applyAlignment="1">
      <alignment vertical="center" wrapText="1"/>
    </xf>
    <xf numFmtId="0" fontId="32" fillId="0" borderId="8" xfId="0" applyFont="1" applyBorder="1" applyAlignment="1">
      <alignment vertical="center" wrapText="1"/>
    </xf>
    <xf numFmtId="0" fontId="32" fillId="0" borderId="16" xfId="0" applyFont="1" applyBorder="1" applyAlignment="1">
      <alignment vertical="center" wrapText="1"/>
    </xf>
    <xf numFmtId="0" fontId="32" fillId="0" borderId="7" xfId="0" applyFont="1" applyBorder="1" applyAlignment="1">
      <alignment vertical="center" wrapText="1"/>
    </xf>
    <xf numFmtId="0" fontId="32" fillId="0" borderId="5" xfId="0" applyFont="1" applyBorder="1" applyAlignment="1">
      <alignment vertical="center" wrapText="1"/>
    </xf>
    <xf numFmtId="0" fontId="32" fillId="0" borderId="44" xfId="0" applyFont="1" applyBorder="1" applyAlignment="1">
      <alignment vertical="center" wrapText="1"/>
    </xf>
    <xf numFmtId="0" fontId="49" fillId="0" borderId="0" xfId="0" applyFont="1" applyAlignment="1">
      <alignment vertical="center" wrapText="1"/>
    </xf>
    <xf numFmtId="0" fontId="33" fillId="0" borderId="13" xfId="0" applyFont="1" applyBorder="1" applyAlignment="1">
      <alignment vertical="center" wrapText="1"/>
    </xf>
    <xf numFmtId="0" fontId="25" fillId="0" borderId="100" xfId="0" applyFont="1" applyBorder="1" applyAlignment="1">
      <alignment vertical="center" wrapText="1"/>
    </xf>
    <xf numFmtId="0" fontId="25" fillId="0" borderId="101" xfId="0" applyFont="1" applyBorder="1" applyAlignment="1">
      <alignment vertical="center" wrapText="1"/>
    </xf>
    <xf numFmtId="0" fontId="25" fillId="0" borderId="12" xfId="0" applyFont="1" applyBorder="1" applyAlignment="1">
      <alignment vertical="center" wrapText="1"/>
    </xf>
    <xf numFmtId="0" fontId="25" fillId="0" borderId="16" xfId="0" applyFont="1" applyBorder="1" applyAlignment="1">
      <alignment vertical="center" wrapText="1"/>
    </xf>
    <xf numFmtId="0" fontId="33" fillId="0" borderId="53" xfId="0" applyFont="1" applyBorder="1" applyAlignment="1">
      <alignment vertical="center" wrapText="1"/>
    </xf>
    <xf numFmtId="0" fontId="33" fillId="0" borderId="38" xfId="0" applyFont="1" applyBorder="1" applyAlignment="1">
      <alignment vertical="center" wrapText="1"/>
    </xf>
    <xf numFmtId="0" fontId="33" fillId="0" borderId="45" xfId="0" applyFont="1" applyBorder="1" applyAlignment="1">
      <alignment vertical="center" wrapText="1"/>
    </xf>
    <xf numFmtId="0" fontId="33" fillId="0" borderId="53" xfId="0" applyFont="1" applyBorder="1" applyAlignment="1">
      <alignment horizontal="left" vertical="center" wrapText="1"/>
    </xf>
    <xf numFmtId="0" fontId="33" fillId="0" borderId="38" xfId="0" applyFont="1" applyBorder="1" applyAlignment="1">
      <alignment horizontal="left" vertical="center" wrapText="1"/>
    </xf>
    <xf numFmtId="0" fontId="33" fillId="0" borderId="45" xfId="0" applyFont="1" applyBorder="1" applyAlignment="1">
      <alignment horizontal="left" vertical="center" wrapText="1"/>
    </xf>
    <xf numFmtId="0" fontId="33" fillId="0" borderId="53" xfId="0" applyFont="1" applyFill="1" applyBorder="1" applyAlignment="1">
      <alignment horizontal="left" vertical="center" wrapText="1"/>
    </xf>
    <xf numFmtId="0" fontId="33" fillId="0" borderId="38" xfId="0" applyFont="1" applyFill="1" applyBorder="1" applyAlignment="1">
      <alignment horizontal="left" vertical="center" wrapText="1"/>
    </xf>
    <xf numFmtId="0" fontId="33" fillId="0" borderId="45" xfId="0" applyFont="1" applyFill="1" applyBorder="1" applyAlignment="1">
      <alignment horizontal="left" vertical="center" wrapText="1"/>
    </xf>
    <xf numFmtId="0" fontId="33" fillId="0" borderId="53" xfId="0" applyFont="1" applyFill="1" applyBorder="1" applyAlignment="1">
      <alignment vertical="center" wrapText="1"/>
    </xf>
    <xf numFmtId="0" fontId="33" fillId="0" borderId="38" xfId="0" applyFont="1" applyFill="1" applyBorder="1" applyAlignment="1">
      <alignment vertical="center" wrapText="1"/>
    </xf>
    <xf numFmtId="0" fontId="33" fillId="0" borderId="45" xfId="0" applyFont="1" applyFill="1" applyBorder="1" applyAlignment="1">
      <alignment vertical="center" wrapText="1"/>
    </xf>
    <xf numFmtId="0" fontId="33" fillId="0" borderId="40" xfId="0" applyFont="1" applyBorder="1" applyAlignment="1">
      <alignment horizontal="left" vertical="center" wrapText="1"/>
    </xf>
    <xf numFmtId="0" fontId="33" fillId="0" borderId="32" xfId="0" applyFont="1" applyBorder="1" applyAlignment="1">
      <alignment horizontal="left" vertical="center" wrapText="1"/>
    </xf>
    <xf numFmtId="0" fontId="33" fillId="0" borderId="9" xfId="0" applyFont="1" applyBorder="1" applyAlignment="1">
      <alignment vertical="center" wrapText="1"/>
    </xf>
    <xf numFmtId="0" fontId="33" fillId="0" borderId="53" xfId="0" applyFont="1" applyBorder="1" applyAlignment="1">
      <alignment horizontal="center" vertical="center" wrapText="1"/>
    </xf>
    <xf numFmtId="0" fontId="33" fillId="0" borderId="45" xfId="0" applyFont="1" applyBorder="1" applyAlignment="1">
      <alignment horizontal="center" vertical="center" wrapText="1"/>
    </xf>
    <xf numFmtId="0" fontId="33" fillId="0" borderId="3" xfId="0" applyFont="1" applyBorder="1" applyAlignment="1">
      <alignment horizontal="left" vertical="center" wrapText="1"/>
    </xf>
    <xf numFmtId="0" fontId="33" fillId="0" borderId="1" xfId="0" applyFont="1" applyBorder="1" applyAlignment="1">
      <alignment horizontal="left" vertical="center" wrapText="1"/>
    </xf>
    <xf numFmtId="0" fontId="33" fillId="0" borderId="4" xfId="0" applyFont="1" applyBorder="1" applyAlignment="1">
      <alignment horizontal="left" vertical="center" wrapText="1"/>
    </xf>
    <xf numFmtId="0" fontId="33" fillId="0" borderId="2" xfId="0" applyFont="1" applyBorder="1" applyAlignment="1">
      <alignment horizontal="left" vertical="center" wrapText="1"/>
    </xf>
    <xf numFmtId="0" fontId="33" fillId="0" borderId="14" xfId="0" applyFont="1" applyBorder="1" applyAlignment="1">
      <alignment horizontal="left" vertical="center" wrapText="1"/>
    </xf>
    <xf numFmtId="0" fontId="33" fillId="0" borderId="52" xfId="0" applyFont="1" applyBorder="1" applyAlignment="1">
      <alignment horizontal="left" vertical="center" wrapText="1"/>
    </xf>
    <xf numFmtId="0" fontId="33" fillId="0" borderId="34" xfId="0" applyFont="1" applyBorder="1" applyAlignment="1">
      <alignment horizontal="left" vertical="center" wrapText="1"/>
    </xf>
    <xf numFmtId="0" fontId="33" fillId="0" borderId="39" xfId="0" applyFont="1" applyBorder="1" applyAlignment="1">
      <alignment horizontal="left" vertical="center" wrapText="1"/>
    </xf>
    <xf numFmtId="0" fontId="33" fillId="0" borderId="64" xfId="0" applyFont="1" applyBorder="1" applyAlignment="1">
      <alignment horizontal="left" vertical="center" wrapText="1"/>
    </xf>
    <xf numFmtId="0" fontId="33" fillId="0" borderId="36" xfId="0" applyFont="1" applyBorder="1" applyAlignment="1">
      <alignment horizontal="left" vertical="center" wrapText="1"/>
    </xf>
    <xf numFmtId="0" fontId="25" fillId="0" borderId="100" xfId="0" applyFont="1" applyBorder="1" applyAlignment="1">
      <alignment horizontal="left" vertical="center" wrapText="1" indent="1"/>
    </xf>
    <xf numFmtId="0" fontId="25" fillId="0" borderId="101" xfId="0" applyFont="1" applyBorder="1" applyAlignment="1">
      <alignment horizontal="left" vertical="center" wrapText="1" indent="1"/>
    </xf>
    <xf numFmtId="0" fontId="25" fillId="0" borderId="72" xfId="0" applyFont="1" applyBorder="1" applyAlignment="1">
      <alignment horizontal="left" vertical="center" wrapText="1" indent="1"/>
    </xf>
    <xf numFmtId="0" fontId="25" fillId="0" borderId="8" xfId="0" applyFont="1" applyBorder="1" applyAlignment="1">
      <alignment horizontal="left" vertical="center" wrapText="1" indent="1"/>
    </xf>
    <xf numFmtId="0" fontId="25" fillId="0" borderId="12" xfId="0" applyFont="1" applyBorder="1" applyAlignment="1">
      <alignment horizontal="left" vertical="center" wrapText="1" indent="1"/>
    </xf>
    <xf numFmtId="0" fontId="25" fillId="0" borderId="16" xfId="0" applyFont="1" applyBorder="1" applyAlignment="1">
      <alignment horizontal="left" vertical="center" wrapText="1" indent="1"/>
    </xf>
    <xf numFmtId="0" fontId="25" fillId="0" borderId="71" xfId="0" applyFont="1" applyBorder="1" applyAlignment="1">
      <alignment horizontal="left" vertical="center" wrapText="1"/>
    </xf>
    <xf numFmtId="0" fontId="25" fillId="0" borderId="72" xfId="0" applyFont="1" applyBorder="1" applyAlignment="1">
      <alignment horizontal="left" vertical="center" wrapText="1"/>
    </xf>
    <xf numFmtId="0" fontId="25" fillId="0" borderId="65" xfId="0" applyFont="1" applyBorder="1" applyAlignment="1">
      <alignment horizontal="left" vertical="center" wrapText="1"/>
    </xf>
    <xf numFmtId="0" fontId="25" fillId="0" borderId="6" xfId="0" applyFont="1" applyBorder="1" applyAlignment="1">
      <alignment vertical="center" wrapText="1"/>
    </xf>
    <xf numFmtId="0" fontId="33" fillId="0" borderId="35" xfId="0" applyFont="1" applyBorder="1" applyAlignment="1">
      <alignment horizontal="left" vertical="center" wrapText="1"/>
    </xf>
    <xf numFmtId="0" fontId="33" fillId="0" borderId="40" xfId="0" applyFont="1" applyBorder="1" applyAlignment="1">
      <alignment horizontal="center" vertical="center" wrapText="1"/>
    </xf>
    <xf numFmtId="0" fontId="33" fillId="0" borderId="38" xfId="0" applyFont="1" applyBorder="1" applyAlignment="1">
      <alignment horizontal="center" vertical="center" wrapText="1"/>
    </xf>
    <xf numFmtId="0" fontId="33" fillId="0" borderId="6" xfId="0" applyFont="1" applyBorder="1" applyAlignment="1">
      <alignment horizontal="left" vertical="center" wrapText="1"/>
    </xf>
    <xf numFmtId="0" fontId="33" fillId="0" borderId="10" xfId="0" applyFont="1" applyBorder="1" applyAlignment="1">
      <alignment horizontal="left" vertical="center" wrapText="1"/>
    </xf>
    <xf numFmtId="0" fontId="33" fillId="0" borderId="32" xfId="0" applyFont="1" applyBorder="1" applyAlignment="1">
      <alignment vertical="center" wrapText="1"/>
    </xf>
    <xf numFmtId="0" fontId="25" fillId="0" borderId="13"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9" xfId="0" applyFont="1" applyBorder="1" applyAlignment="1">
      <alignment horizontal="center" vertical="center" wrapText="1"/>
    </xf>
    <xf numFmtId="0" fontId="33" fillId="0" borderId="36" xfId="0" applyFont="1" applyBorder="1" applyAlignment="1">
      <alignment vertical="center" wrapText="1"/>
    </xf>
    <xf numFmtId="0" fontId="33" fillId="0" borderId="34" xfId="0" applyFont="1" applyBorder="1" applyAlignment="1">
      <alignment vertical="center" wrapText="1"/>
    </xf>
    <xf numFmtId="0" fontId="33" fillId="0" borderId="39" xfId="0" applyFont="1" applyBorder="1" applyAlignment="1">
      <alignment vertical="center" wrapText="1"/>
    </xf>
    <xf numFmtId="0" fontId="33" fillId="0" borderId="33" xfId="0" applyFont="1" applyBorder="1" applyAlignment="1">
      <alignment vertical="center" wrapText="1"/>
    </xf>
    <xf numFmtId="0" fontId="33" fillId="0" borderId="35" xfId="0" applyFont="1" applyBorder="1" applyAlignment="1">
      <alignment vertical="center" wrapText="1"/>
    </xf>
    <xf numFmtId="0" fontId="25" fillId="0" borderId="100" xfId="0" applyFont="1" applyBorder="1" applyAlignment="1">
      <alignment horizontal="left" vertical="center" wrapText="1"/>
    </xf>
    <xf numFmtId="0" fontId="25" fillId="0" borderId="101" xfId="0" applyFont="1" applyBorder="1" applyAlignment="1">
      <alignment horizontal="left" vertical="center" wrapText="1"/>
    </xf>
    <xf numFmtId="0" fontId="25" fillId="0" borderId="8" xfId="0" applyFont="1" applyBorder="1" applyAlignment="1">
      <alignment horizontal="left" vertical="center" wrapText="1"/>
    </xf>
    <xf numFmtId="0" fontId="25" fillId="0" borderId="12" xfId="0" applyFont="1" applyBorder="1" applyAlignment="1">
      <alignment horizontal="left" vertical="center" wrapText="1"/>
    </xf>
    <xf numFmtId="0" fontId="25" fillId="0" borderId="16" xfId="0" applyFont="1" applyBorder="1" applyAlignment="1">
      <alignment horizontal="left" vertical="center" wrapText="1"/>
    </xf>
    <xf numFmtId="0" fontId="32" fillId="0" borderId="13" xfId="0" applyFont="1" applyBorder="1" applyAlignment="1">
      <alignment vertical="center" wrapText="1"/>
    </xf>
    <xf numFmtId="0" fontId="32" fillId="0" borderId="9" xfId="0" applyFont="1" applyBorder="1" applyAlignment="1">
      <alignment vertical="center" wrapText="1"/>
    </xf>
    <xf numFmtId="0" fontId="33" fillId="0" borderId="32" xfId="0" applyFont="1" applyBorder="1" applyAlignment="1">
      <alignment horizontal="center" vertical="center" wrapText="1"/>
    </xf>
    <xf numFmtId="0" fontId="25" fillId="0" borderId="14" xfId="0" applyFont="1" applyBorder="1" applyAlignment="1">
      <alignment horizontal="left" vertical="center" wrapText="1"/>
    </xf>
    <xf numFmtId="0" fontId="25" fillId="0" borderId="10" xfId="0" applyFont="1" applyBorder="1" applyAlignment="1">
      <alignment horizontal="left" vertical="center" wrapText="1"/>
    </xf>
    <xf numFmtId="43" fontId="33" fillId="0" borderId="84" xfId="7" applyFont="1" applyFill="1" applyBorder="1" applyAlignment="1">
      <alignment horizontal="center" vertical="center" wrapText="1"/>
    </xf>
    <xf numFmtId="43" fontId="33" fillId="0" borderId="85" xfId="7" applyFont="1" applyFill="1" applyBorder="1" applyAlignment="1">
      <alignment horizontal="center" vertical="center" wrapText="1"/>
    </xf>
    <xf numFmtId="43" fontId="33" fillId="0" borderId="73" xfId="7" applyFont="1" applyFill="1" applyBorder="1" applyAlignment="1">
      <alignment horizontal="center" vertical="center" wrapText="1"/>
    </xf>
    <xf numFmtId="0" fontId="25" fillId="0" borderId="22" xfId="0" applyFont="1" applyBorder="1" applyAlignment="1">
      <alignment vertical="center" wrapText="1"/>
    </xf>
    <xf numFmtId="167" fontId="25" fillId="0" borderId="7" xfId="7" applyNumberFormat="1" applyFont="1" applyFill="1" applyBorder="1" applyAlignment="1">
      <alignment vertical="center"/>
    </xf>
    <xf numFmtId="167" fontId="25" fillId="0" borderId="6" xfId="7" applyNumberFormat="1" applyFont="1" applyFill="1" applyBorder="1" applyAlignment="1">
      <alignment vertical="center"/>
    </xf>
    <xf numFmtId="167" fontId="25" fillId="0" borderId="7" xfId="7" applyNumberFormat="1" applyFont="1" applyFill="1" applyBorder="1" applyAlignment="1">
      <alignment horizontal="center" vertical="center"/>
    </xf>
    <xf numFmtId="167" fontId="25" fillId="0" borderId="6" xfId="7" applyNumberFormat="1" applyFont="1" applyFill="1" applyBorder="1" applyAlignment="1">
      <alignment horizontal="center" vertical="center"/>
    </xf>
    <xf numFmtId="0" fontId="25" fillId="0" borderId="31" xfId="0" applyFont="1" applyBorder="1" applyAlignment="1">
      <alignment horizontal="left" vertical="center" wrapText="1"/>
    </xf>
    <xf numFmtId="0" fontId="25" fillId="0" borderId="56" xfId="0" applyFont="1" applyBorder="1" applyAlignment="1">
      <alignment horizontal="left" vertical="center" wrapText="1"/>
    </xf>
    <xf numFmtId="0" fontId="25" fillId="0" borderId="57" xfId="0" applyFont="1" applyBorder="1" applyAlignment="1">
      <alignment horizontal="left" vertical="center" wrapText="1"/>
    </xf>
    <xf numFmtId="0" fontId="25" fillId="0" borderId="22" xfId="0" applyFont="1" applyBorder="1" applyAlignment="1">
      <alignment horizontal="left" vertical="center" wrapText="1"/>
    </xf>
    <xf numFmtId="43" fontId="25" fillId="0" borderId="54" xfId="7" applyFont="1" applyFill="1" applyBorder="1" applyAlignment="1">
      <alignment vertical="center" wrapText="1"/>
    </xf>
    <xf numFmtId="43" fontId="25" fillId="0" borderId="5" xfId="7" applyFont="1" applyFill="1" applyBorder="1" applyAlignment="1">
      <alignment vertical="center" wrapText="1"/>
    </xf>
    <xf numFmtId="43" fontId="25" fillId="0" borderId="9" xfId="7" applyFont="1" applyFill="1" applyBorder="1" applyAlignment="1">
      <alignment vertical="center" wrapText="1"/>
    </xf>
    <xf numFmtId="0" fontId="26" fillId="0" borderId="15" xfId="0" applyFont="1" applyBorder="1" applyAlignment="1">
      <alignment vertical="center" wrapText="1"/>
    </xf>
    <xf numFmtId="0" fontId="25" fillId="0" borderId="54" xfId="0" applyFont="1" applyBorder="1" applyAlignment="1">
      <alignment vertical="center" wrapText="1"/>
    </xf>
    <xf numFmtId="0" fontId="32" fillId="0" borderId="48" xfId="0" applyFont="1" applyBorder="1" applyAlignment="1">
      <alignment vertical="center" wrapText="1"/>
    </xf>
    <xf numFmtId="0" fontId="32" fillId="0" borderId="58" xfId="0" applyFont="1" applyBorder="1" applyAlignment="1">
      <alignment vertical="center" wrapText="1"/>
    </xf>
    <xf numFmtId="0" fontId="32" fillId="0" borderId="60" xfId="0" applyFont="1" applyBorder="1" applyAlignment="1">
      <alignment vertical="center" wrapText="1"/>
    </xf>
    <xf numFmtId="0" fontId="32" fillId="0" borderId="14" xfId="0" applyFont="1" applyBorder="1" applyAlignment="1">
      <alignment horizontal="left" vertical="center" wrapText="1"/>
    </xf>
    <xf numFmtId="0" fontId="32" fillId="0" borderId="10" xfId="0" applyFont="1" applyBorder="1" applyAlignment="1">
      <alignment horizontal="left" vertical="center" wrapText="1"/>
    </xf>
    <xf numFmtId="0" fontId="25" fillId="0" borderId="48" xfId="0" applyFont="1" applyBorder="1" applyAlignment="1">
      <alignment horizontal="left" vertical="center" wrapText="1"/>
    </xf>
    <xf numFmtId="0" fontId="25" fillId="0" borderId="58" xfId="0" applyFont="1" applyBorder="1" applyAlignment="1">
      <alignment horizontal="left" vertical="center" wrapText="1"/>
    </xf>
    <xf numFmtId="0" fontId="25" fillId="0" borderId="59" xfId="0" applyFont="1" applyBorder="1" applyAlignment="1">
      <alignment horizontal="left" vertical="center" wrapText="1"/>
    </xf>
    <xf numFmtId="0" fontId="32" fillId="0" borderId="54" xfId="0" applyFont="1" applyBorder="1" applyAlignment="1">
      <alignment horizontal="left" vertical="center" wrapText="1"/>
    </xf>
    <xf numFmtId="0" fontId="32" fillId="0" borderId="9" xfId="0" applyFont="1" applyBorder="1" applyAlignment="1">
      <alignment horizontal="left" vertical="center" wrapText="1"/>
    </xf>
    <xf numFmtId="0" fontId="25" fillId="0" borderId="48" xfId="0" applyFont="1" applyBorder="1" applyAlignment="1">
      <alignment vertical="center" wrapText="1"/>
    </xf>
    <xf numFmtId="0" fontId="25" fillId="0" borderId="58" xfId="0" applyFont="1" applyBorder="1" applyAlignment="1">
      <alignment vertical="center" wrapText="1"/>
    </xf>
    <xf numFmtId="0" fontId="25" fillId="0" borderId="60" xfId="0" applyFont="1" applyBorder="1" applyAlignment="1">
      <alignment vertical="center" wrapText="1"/>
    </xf>
    <xf numFmtId="0" fontId="32" fillId="0" borderId="38" xfId="0" applyFont="1" applyBorder="1" applyAlignment="1">
      <alignment horizontal="center" vertical="center" wrapText="1"/>
    </xf>
    <xf numFmtId="0" fontId="32" fillId="0" borderId="45" xfId="0" applyFont="1" applyBorder="1" applyAlignment="1">
      <alignment horizontal="center" vertical="center" wrapText="1"/>
    </xf>
    <xf numFmtId="0" fontId="32" fillId="0" borderId="40" xfId="0" applyFont="1" applyBorder="1" applyAlignment="1">
      <alignment horizontal="center" vertical="center" wrapText="1"/>
    </xf>
    <xf numFmtId="0" fontId="25" fillId="0" borderId="36" xfId="0" applyFont="1" applyBorder="1" applyAlignment="1">
      <alignment vertical="center" wrapText="1"/>
    </xf>
    <xf numFmtId="0" fontId="25" fillId="0" borderId="34" xfId="0" applyFont="1" applyBorder="1" applyAlignment="1">
      <alignment vertical="center" wrapText="1"/>
    </xf>
    <xf numFmtId="0" fontId="25" fillId="0" borderId="64" xfId="0" applyFont="1" applyBorder="1" applyAlignment="1">
      <alignment vertical="center" wrapText="1"/>
    </xf>
    <xf numFmtId="0" fontId="25" fillId="0" borderId="35" xfId="0" applyFont="1" applyBorder="1" applyAlignment="1">
      <alignment vertical="center" wrapText="1"/>
    </xf>
    <xf numFmtId="0" fontId="32" fillId="0" borderId="5" xfId="0" applyFont="1" applyBorder="1" applyAlignment="1">
      <alignment horizontal="center" vertical="center" wrapText="1"/>
    </xf>
    <xf numFmtId="0" fontId="32" fillId="0" borderId="44" xfId="0" applyFont="1" applyBorder="1" applyAlignment="1">
      <alignment horizontal="center" vertical="center" wrapText="1"/>
    </xf>
    <xf numFmtId="0" fontId="32" fillId="0" borderId="9" xfId="0" applyFont="1" applyBorder="1" applyAlignment="1">
      <alignment horizontal="center" vertical="center" wrapText="1"/>
    </xf>
    <xf numFmtId="0" fontId="33" fillId="0" borderId="32" xfId="0" applyFont="1" applyFill="1" applyBorder="1" applyAlignment="1">
      <alignment vertical="center" wrapText="1"/>
    </xf>
    <xf numFmtId="0" fontId="33" fillId="0" borderId="40" xfId="0" applyFont="1" applyFill="1" applyBorder="1" applyAlignment="1">
      <alignment vertical="center" wrapText="1"/>
    </xf>
    <xf numFmtId="0" fontId="25" fillId="0" borderId="32" xfId="0" applyFont="1" applyBorder="1" applyAlignment="1">
      <alignment vertical="center" wrapText="1"/>
    </xf>
    <xf numFmtId="0" fontId="25" fillId="0" borderId="38" xfId="0" applyFont="1" applyBorder="1" applyAlignment="1">
      <alignment vertical="center" wrapText="1"/>
    </xf>
    <xf numFmtId="0" fontId="25" fillId="0" borderId="45" xfId="0" applyFont="1" applyBorder="1" applyAlignment="1">
      <alignment vertical="center" wrapText="1"/>
    </xf>
    <xf numFmtId="0" fontId="33" fillId="0" borderId="63" xfId="0" applyFont="1" applyBorder="1" applyAlignment="1">
      <alignment vertical="center" wrapText="1"/>
    </xf>
    <xf numFmtId="0" fontId="33" fillId="0" borderId="54"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9" xfId="0" applyFont="1" applyBorder="1" applyAlignment="1">
      <alignment horizontal="center" vertical="center" wrapText="1"/>
    </xf>
    <xf numFmtId="0" fontId="32" fillId="0" borderId="56" xfId="0" applyFont="1" applyBorder="1" applyAlignment="1">
      <alignment vertical="center" wrapText="1"/>
    </xf>
    <xf numFmtId="0" fontId="32" fillId="0" borderId="57" xfId="0" applyFont="1" applyBorder="1" applyAlignment="1">
      <alignment vertical="center" wrapText="1"/>
    </xf>
    <xf numFmtId="0" fontId="32" fillId="0" borderId="31" xfId="0" applyFont="1" applyBorder="1" applyAlignment="1">
      <alignment horizontal="left" vertical="center" wrapText="1"/>
    </xf>
    <xf numFmtId="0" fontId="32" fillId="0" borderId="56" xfId="0" applyFont="1" applyBorder="1" applyAlignment="1">
      <alignment horizontal="left" vertical="center" wrapText="1"/>
    </xf>
    <xf numFmtId="0" fontId="32" fillId="0" borderId="57" xfId="0" applyFont="1" applyBorder="1" applyAlignment="1">
      <alignment horizontal="left" vertical="center" wrapText="1"/>
    </xf>
    <xf numFmtId="0" fontId="25" fillId="0" borderId="62" xfId="0" applyFont="1" applyBorder="1" applyAlignment="1">
      <alignment vertical="center" wrapText="1"/>
    </xf>
    <xf numFmtId="0" fontId="25" fillId="0" borderId="40" xfId="0" applyFont="1" applyBorder="1" applyAlignment="1">
      <alignment vertical="center" wrapText="1"/>
    </xf>
    <xf numFmtId="0" fontId="25" fillId="0" borderId="37" xfId="0" applyFont="1" applyBorder="1" applyAlignment="1">
      <alignment horizontal="left" vertical="center" wrapText="1"/>
    </xf>
    <xf numFmtId="0" fontId="25" fillId="0" borderId="34" xfId="0" applyFont="1" applyBorder="1" applyAlignment="1">
      <alignment horizontal="left" vertical="center" wrapText="1"/>
    </xf>
    <xf numFmtId="0" fontId="25" fillId="0" borderId="35" xfId="0" applyFont="1" applyBorder="1" applyAlignment="1">
      <alignment horizontal="left" vertical="center" wrapText="1"/>
    </xf>
    <xf numFmtId="0" fontId="33" fillId="0" borderId="54" xfId="0" applyFont="1" applyBorder="1" applyAlignment="1">
      <alignment horizontal="left" vertical="center" wrapText="1"/>
    </xf>
    <xf numFmtId="0" fontId="33" fillId="0" borderId="22" xfId="0" applyFont="1" applyBorder="1" applyAlignment="1">
      <alignment horizontal="left" vertical="center" wrapText="1"/>
    </xf>
    <xf numFmtId="0" fontId="25" fillId="0" borderId="53" xfId="0" applyFont="1" applyBorder="1" applyAlignment="1">
      <alignment horizontal="left" vertical="center" wrapText="1"/>
    </xf>
    <xf numFmtId="0" fontId="25" fillId="0" borderId="45" xfId="0" applyFont="1" applyBorder="1" applyAlignment="1">
      <alignment horizontal="left" vertical="center" wrapText="1"/>
    </xf>
    <xf numFmtId="0" fontId="25" fillId="0" borderId="63" xfId="0" applyFont="1" applyBorder="1" applyAlignment="1">
      <alignment vertical="center" wrapText="1"/>
    </xf>
    <xf numFmtId="0" fontId="26" fillId="0" borderId="93" xfId="0" applyFont="1" applyBorder="1" applyAlignment="1">
      <alignment vertical="center" wrapText="1"/>
    </xf>
    <xf numFmtId="0" fontId="26" fillId="0" borderId="94" xfId="0" applyFont="1" applyBorder="1" applyAlignment="1">
      <alignment vertical="center" wrapText="1"/>
    </xf>
    <xf numFmtId="0" fontId="26" fillId="0" borderId="95" xfId="0" applyFont="1" applyBorder="1" applyAlignment="1">
      <alignment vertical="center" wrapText="1"/>
    </xf>
    <xf numFmtId="0" fontId="19" fillId="2" borderId="89" xfId="0" applyFont="1" applyFill="1" applyBorder="1" applyAlignment="1">
      <alignment horizontal="left" vertical="center"/>
    </xf>
    <xf numFmtId="0" fontId="19" fillId="2" borderId="18" xfId="0" applyFont="1" applyFill="1" applyBorder="1" applyAlignment="1">
      <alignment horizontal="left" vertical="center"/>
    </xf>
    <xf numFmtId="0" fontId="21" fillId="2" borderId="18" xfId="0" applyFont="1" applyFill="1" applyBorder="1" applyAlignment="1">
      <alignment horizontal="left" vertical="center"/>
    </xf>
    <xf numFmtId="0" fontId="21" fillId="2" borderId="43" xfId="0" applyFont="1" applyFill="1" applyBorder="1" applyAlignment="1">
      <alignment horizontal="left" vertical="center"/>
    </xf>
    <xf numFmtId="0" fontId="26" fillId="0" borderId="90" xfId="0" applyFont="1" applyBorder="1" applyAlignment="1">
      <alignment vertical="center" wrapText="1"/>
    </xf>
    <xf numFmtId="0" fontId="26" fillId="0" borderId="91" xfId="0" applyFont="1" applyBorder="1" applyAlignment="1">
      <alignment vertical="center" wrapText="1"/>
    </xf>
    <xf numFmtId="0" fontId="26" fillId="0" borderId="92" xfId="0" applyFont="1" applyBorder="1" applyAlignment="1">
      <alignment vertical="center" wrapText="1"/>
    </xf>
    <xf numFmtId="0" fontId="8" fillId="0" borderId="23" xfId="0" applyFont="1" applyBorder="1" applyAlignment="1">
      <alignment vertical="top"/>
    </xf>
    <xf numFmtId="0" fontId="8" fillId="0" borderId="24" xfId="0" applyFont="1" applyBorder="1" applyAlignment="1">
      <alignment vertical="top"/>
    </xf>
    <xf numFmtId="0" fontId="15" fillId="0" borderId="15" xfId="0" applyFont="1" applyBorder="1" applyAlignment="1">
      <alignment horizontal="left" vertical="top" wrapText="1" indent="1"/>
    </xf>
    <xf numFmtId="0" fontId="15" fillId="0" borderId="11" xfId="0" applyFont="1" applyBorder="1" applyAlignment="1">
      <alignment horizontal="left" vertical="top" wrapText="1" indent="1"/>
    </xf>
    <xf numFmtId="0" fontId="5" fillId="0" borderId="15" xfId="0" applyFont="1" applyBorder="1" applyAlignment="1">
      <alignment horizontal="left" vertical="top" wrapText="1" indent="1"/>
    </xf>
    <xf numFmtId="0" fontId="5" fillId="0" borderId="11" xfId="0" applyFont="1" applyBorder="1" applyAlignment="1">
      <alignment horizontal="left" vertical="top" wrapText="1" indent="1"/>
    </xf>
    <xf numFmtId="0" fontId="8" fillId="0" borderId="25" xfId="0" applyFont="1" applyBorder="1" applyAlignment="1">
      <alignment vertical="top"/>
    </xf>
    <xf numFmtId="0" fontId="15" fillId="0" borderId="23" xfId="0" applyFont="1" applyBorder="1" applyAlignment="1">
      <alignment horizontal="left" vertical="top" wrapText="1" indent="1"/>
    </xf>
    <xf numFmtId="0" fontId="15" fillId="0" borderId="25" xfId="0" applyFont="1" applyBorder="1" applyAlignment="1">
      <alignment horizontal="left" vertical="top" wrapText="1" indent="1"/>
    </xf>
    <xf numFmtId="0" fontId="15" fillId="0" borderId="24" xfId="0" applyFont="1" applyBorder="1" applyAlignment="1">
      <alignment horizontal="left" vertical="top" wrapText="1" indent="1"/>
    </xf>
    <xf numFmtId="0" fontId="5" fillId="0" borderId="23" xfId="0" applyFont="1" applyBorder="1" applyAlignment="1">
      <alignment horizontal="left" vertical="top" wrapText="1" indent="1"/>
    </xf>
    <xf numFmtId="0" fontId="5" fillId="0" borderId="25" xfId="0" applyFont="1" applyBorder="1" applyAlignment="1">
      <alignment horizontal="left" vertical="top" wrapText="1" indent="1"/>
    </xf>
    <xf numFmtId="0" fontId="5" fillId="0" borderId="24" xfId="0" applyFont="1" applyBorder="1" applyAlignment="1">
      <alignment horizontal="left" vertical="top" wrapText="1" indent="1"/>
    </xf>
    <xf numFmtId="0" fontId="8" fillId="0" borderId="26" xfId="0" applyFont="1" applyBorder="1" applyAlignment="1">
      <alignment vertical="top"/>
    </xf>
    <xf numFmtId="0" fontId="5" fillId="0" borderId="26" xfId="0" applyFont="1" applyBorder="1" applyAlignment="1">
      <alignment horizontal="left" vertical="top" wrapText="1" indent="1"/>
    </xf>
    <xf numFmtId="0" fontId="34" fillId="0" borderId="27" xfId="0" applyFont="1" applyBorder="1" applyAlignment="1">
      <alignment vertical="center" wrapText="1"/>
    </xf>
    <xf numFmtId="0" fontId="11" fillId="0" borderId="28" xfId="0" applyFont="1" applyBorder="1" applyAlignment="1">
      <alignment vertical="top" wrapText="1"/>
    </xf>
    <xf numFmtId="0" fontId="11" fillId="0" borderId="29" xfId="0" applyFont="1" applyBorder="1" applyAlignment="1">
      <alignment vertical="top" wrapText="1"/>
    </xf>
    <xf numFmtId="0" fontId="11" fillId="0" borderId="0" xfId="0" applyFont="1" applyAlignment="1">
      <alignment vertical="top" wrapText="1"/>
    </xf>
    <xf numFmtId="0" fontId="10" fillId="0" borderId="0" xfId="0" applyFont="1" applyAlignment="1">
      <alignment horizontal="right" vertical="top" wrapText="1" indent="10"/>
    </xf>
    <xf numFmtId="0" fontId="13" fillId="0" borderId="0" xfId="0" applyFont="1" applyAlignment="1">
      <alignment horizontal="right" vertical="top" wrapText="1" indent="10"/>
    </xf>
    <xf numFmtId="0" fontId="34" fillId="0" borderId="96" xfId="0" applyFont="1" applyBorder="1" applyAlignment="1">
      <alignment vertical="center" wrapText="1"/>
    </xf>
    <xf numFmtId="0" fontId="11" fillId="0" borderId="30" xfId="0" applyFont="1" applyBorder="1" applyAlignment="1">
      <alignment vertical="top" wrapText="1"/>
    </xf>
  </cellXfs>
  <cellStyles count="23">
    <cellStyle name="Comma" xfId="7" builtinId="3"/>
    <cellStyle name="Milliers 2" xfId="4" xr:uid="{00000000-0005-0000-0000-000001000000}"/>
    <cellStyle name="Moeda 2" xfId="17" xr:uid="{146DF59D-3334-4530-ACC7-EF60C3DF501A}"/>
    <cellStyle name="Normal" xfId="0" builtinId="0"/>
    <cellStyle name="Normal 2" xfId="3" xr:uid="{00000000-0005-0000-0000-000003000000}"/>
    <cellStyle name="Normal 2 2" xfId="10" xr:uid="{3A1C8893-BE95-44B8-B1AF-7EA2008979FE}"/>
    <cellStyle name="Normal 2 2 2" xfId="20" xr:uid="{75168A90-B64E-48CF-8B03-4C4C7F56F3E3}"/>
    <cellStyle name="Normal 3" xfId="1" xr:uid="{00000000-0005-0000-0000-000004000000}"/>
    <cellStyle name="Normal 3 2" xfId="15" xr:uid="{11BA2555-B784-4A38-8376-83752FEB11F3}"/>
    <cellStyle name="Normal 4" xfId="9" xr:uid="{78C27571-7C1A-4C5D-A6A2-9414BAB39DD4}"/>
    <cellStyle name="Porcentagem 2" xfId="2" xr:uid="{00000000-0005-0000-0000-000005000000}"/>
    <cellStyle name="Porcentagem 2 2" xfId="19" xr:uid="{BDC1D41B-C26D-4344-B22A-E826924B88F2}"/>
    <cellStyle name="Porcentagem 3" xfId="18" xr:uid="{03C8339E-B829-4906-962B-66C05C219BFD}"/>
    <cellStyle name="Vírgula 2" xfId="5" xr:uid="{00000000-0005-0000-0000-000007000000}"/>
    <cellStyle name="Vírgula 2 2" xfId="6" xr:uid="{00000000-0005-0000-0000-000008000000}"/>
    <cellStyle name="Vírgula 2 2 2" xfId="12" xr:uid="{B08F890F-4048-4A02-9179-0238A61AA435}"/>
    <cellStyle name="Vírgula 2 2 3" xfId="21" xr:uid="{99BCF16A-F18E-43B6-A21A-B0139ED9C37A}"/>
    <cellStyle name="Vírgula 2 3" xfId="11" xr:uid="{24F1C138-4CDB-45A2-8675-D2EA4B9AC7EC}"/>
    <cellStyle name="Vírgula 3" xfId="8" xr:uid="{00000000-0005-0000-0000-000009000000}"/>
    <cellStyle name="Vírgula 3 2" xfId="14" xr:uid="{E0302D1D-B901-4A16-8E5C-FBF434525244}"/>
    <cellStyle name="Vírgula 4" xfId="13" xr:uid="{7308B977-D55A-436A-9FC1-5855ED1E69D3}"/>
    <cellStyle name="Vírgula 5" xfId="16" xr:uid="{F9434409-D066-48DF-A835-C7395D89E0F9}"/>
    <cellStyle name="Vírgula 6" xfId="22" xr:uid="{1761DEC5-6050-4D38-B9D3-1A1BD431BE8B}"/>
  </cellStyles>
  <dxfs count="4">
    <dxf>
      <font>
        <color rgb="FFC00000"/>
      </font>
      <numFmt numFmtId="169" formatCode="0.00_ ;[Red]\-0.00\ "/>
    </dxf>
    <dxf>
      <font>
        <color rgb="FFC00000"/>
      </font>
      <numFmt numFmtId="169" formatCode="0.00_ ;[Red]\-0.00\ "/>
    </dxf>
    <dxf>
      <font>
        <color rgb="FFC00000"/>
      </font>
      <numFmt numFmtId="169" formatCode="0.00_ ;[Red]\-0.00\ "/>
    </dxf>
    <dxf>
      <font>
        <color rgb="FFC00000"/>
      </font>
      <numFmt numFmtId="169" formatCode="0.00_ ;[Red]\-0.00\ "/>
    </dxf>
  </dxfs>
  <tableStyles count="0" defaultTableStyle="TableStyleMedium2" defaultPivotStyle="PivotStyleLight16"/>
  <colors>
    <mruColors>
      <color rgb="FFCC092F"/>
      <color rgb="FFA20000"/>
      <color rgb="FFEA0000"/>
      <color rgb="FFFFEBEB"/>
      <color rgb="FFFFCCCC"/>
      <color rgb="FFFF5353"/>
      <color rgb="FFBC1336"/>
      <color rgb="FFCC00FF"/>
      <color rgb="FFB81570"/>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jpg"/><Relationship Id="rId3" Type="http://schemas.openxmlformats.org/officeDocument/2006/relationships/hyperlink" Target="#Governance!A1"/><Relationship Id="rId7" Type="http://schemas.openxmlformats.org/officeDocument/2006/relationships/hyperlink" Target="#Stakeholders!A1"/><Relationship Id="rId12" Type="http://schemas.openxmlformats.org/officeDocument/2006/relationships/hyperlink" Target="#'P&amp;L by Country'!A1"/><Relationship Id="rId2" Type="http://schemas.openxmlformats.org/officeDocument/2006/relationships/hyperlink" Target="#Social!A1"/><Relationship Id="rId1" Type="http://schemas.openxmlformats.org/officeDocument/2006/relationships/hyperlink" Target="#Environmental!A1"/><Relationship Id="rId6" Type="http://schemas.openxmlformats.org/officeDocument/2006/relationships/hyperlink" Target="#SDG!A1"/><Relationship Id="rId11" Type="http://schemas.openxmlformats.org/officeDocument/2006/relationships/image" Target="../media/image4.png"/><Relationship Id="rId5" Type="http://schemas.openxmlformats.org/officeDocument/2006/relationships/hyperlink" Target="https://www.bradescori.com.br/en/bradesco/corporate-governance/boards/board-of-directors/" TargetMode="External"/><Relationship Id="rId10" Type="http://schemas.openxmlformats.org/officeDocument/2006/relationships/image" Target="../media/image3.png"/><Relationship Id="rId4" Type="http://schemas.openxmlformats.org/officeDocument/2006/relationships/hyperlink" Target="https://www.bradescori.com.br/en/bradesco/sustainability/" TargetMode="Externa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jpeg"/><Relationship Id="rId7" Type="http://schemas.openxmlformats.org/officeDocument/2006/relationships/image" Target="../media/image11.png"/><Relationship Id="rId2" Type="http://schemas.openxmlformats.org/officeDocument/2006/relationships/hyperlink" Target="#Home!A1"/><Relationship Id="rId1" Type="http://schemas.openxmlformats.org/officeDocument/2006/relationships/image" Target="../media/image6.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598308</xdr:colOff>
      <xdr:row>23</xdr:row>
      <xdr:rowOff>83904</xdr:rowOff>
    </xdr:from>
    <xdr:to>
      <xdr:col>6</xdr:col>
      <xdr:colOff>161682</xdr:colOff>
      <xdr:row>26</xdr:row>
      <xdr:rowOff>54977</xdr:rowOff>
    </xdr:to>
    <xdr:sp macro="" textlink="">
      <xdr:nvSpPr>
        <xdr:cNvPr id="3" name="Retângulo Arredondado 7">
          <a:hlinkClick xmlns:r="http://schemas.openxmlformats.org/officeDocument/2006/relationships" r:id="rId1"/>
          <a:extLst>
            <a:ext uri="{FF2B5EF4-FFF2-40B4-BE49-F238E27FC236}">
              <a16:creationId xmlns:a16="http://schemas.microsoft.com/office/drawing/2014/main" id="{FB017100-AA6A-4865-A60E-0689EA0631AB}"/>
            </a:ext>
          </a:extLst>
        </xdr:cNvPr>
        <xdr:cNvSpPr/>
      </xdr:nvSpPr>
      <xdr:spPr>
        <a:xfrm flipH="1">
          <a:off x="2122308" y="3055704"/>
          <a:ext cx="2611374" cy="466373"/>
        </a:xfrm>
        <a:prstGeom prst="roundRect">
          <a:avLst/>
        </a:prstGeom>
        <a:solidFill>
          <a:srgbClr val="CC092F"/>
        </a:solidFill>
        <a:ln w="285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0">
              <a:latin typeface="Bradesco Sans XBold" panose="00000900000000000000" pitchFamily="2" charset="0"/>
            </a:rPr>
            <a:t>Environmental</a:t>
          </a:r>
        </a:p>
      </xdr:txBody>
    </xdr:sp>
    <xdr:clientData/>
  </xdr:twoCellAnchor>
  <xdr:twoCellAnchor>
    <xdr:from>
      <xdr:col>7</xdr:col>
      <xdr:colOff>91832</xdr:colOff>
      <xdr:row>23</xdr:row>
      <xdr:rowOff>83904</xdr:rowOff>
    </xdr:from>
    <xdr:to>
      <xdr:col>10</xdr:col>
      <xdr:colOff>388758</xdr:colOff>
      <xdr:row>26</xdr:row>
      <xdr:rowOff>54977</xdr:rowOff>
    </xdr:to>
    <xdr:sp macro="" textlink="">
      <xdr:nvSpPr>
        <xdr:cNvPr id="4" name="Retângulo Arredondado 8">
          <a:hlinkClick xmlns:r="http://schemas.openxmlformats.org/officeDocument/2006/relationships" r:id="rId2"/>
          <a:extLst>
            <a:ext uri="{FF2B5EF4-FFF2-40B4-BE49-F238E27FC236}">
              <a16:creationId xmlns:a16="http://schemas.microsoft.com/office/drawing/2014/main" id="{72A456CE-784E-4EFE-8982-3AF2D82FF099}"/>
            </a:ext>
          </a:extLst>
        </xdr:cNvPr>
        <xdr:cNvSpPr/>
      </xdr:nvSpPr>
      <xdr:spPr>
        <a:xfrm flipH="1">
          <a:off x="5425832" y="3055704"/>
          <a:ext cx="2582926" cy="466373"/>
        </a:xfrm>
        <a:prstGeom prst="roundRect">
          <a:avLst/>
        </a:prstGeom>
        <a:solidFill>
          <a:srgbClr val="CC092F"/>
        </a:solidFill>
        <a:ln w="285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0">
              <a:latin typeface="Bradesco Sans XBold" panose="00000900000000000000" pitchFamily="2" charset="0"/>
            </a:rPr>
            <a:t>Social</a:t>
          </a:r>
        </a:p>
      </xdr:txBody>
    </xdr:sp>
    <xdr:clientData/>
  </xdr:twoCellAnchor>
  <xdr:twoCellAnchor>
    <xdr:from>
      <xdr:col>11</xdr:col>
      <xdr:colOff>318908</xdr:colOff>
      <xdr:row>23</xdr:row>
      <xdr:rowOff>83904</xdr:rowOff>
    </xdr:from>
    <xdr:to>
      <xdr:col>14</xdr:col>
      <xdr:colOff>630058</xdr:colOff>
      <xdr:row>26</xdr:row>
      <xdr:rowOff>54977</xdr:rowOff>
    </xdr:to>
    <xdr:sp macro="" textlink="">
      <xdr:nvSpPr>
        <xdr:cNvPr id="5" name="Retângulo Arredondado 9">
          <a:hlinkClick xmlns:r="http://schemas.openxmlformats.org/officeDocument/2006/relationships" r:id="rId3"/>
          <a:extLst>
            <a:ext uri="{FF2B5EF4-FFF2-40B4-BE49-F238E27FC236}">
              <a16:creationId xmlns:a16="http://schemas.microsoft.com/office/drawing/2014/main" id="{705D4484-53D4-4500-8462-97BE6518C7AB}"/>
            </a:ext>
          </a:extLst>
        </xdr:cNvPr>
        <xdr:cNvSpPr/>
      </xdr:nvSpPr>
      <xdr:spPr>
        <a:xfrm flipH="1">
          <a:off x="8700908" y="3055704"/>
          <a:ext cx="2597150" cy="466373"/>
        </a:xfrm>
        <a:prstGeom prst="roundRect">
          <a:avLst/>
        </a:prstGeom>
        <a:solidFill>
          <a:srgbClr val="CC092F"/>
        </a:solidFill>
        <a:ln w="285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0">
              <a:latin typeface="Bradesco Sans XBold" panose="00000900000000000000" pitchFamily="2" charset="0"/>
            </a:rPr>
            <a:t>Governance</a:t>
          </a:r>
        </a:p>
      </xdr:txBody>
    </xdr:sp>
    <xdr:clientData/>
  </xdr:twoCellAnchor>
  <xdr:twoCellAnchor>
    <xdr:from>
      <xdr:col>6</xdr:col>
      <xdr:colOff>666037</xdr:colOff>
      <xdr:row>34</xdr:row>
      <xdr:rowOff>143447</xdr:rowOff>
    </xdr:from>
    <xdr:to>
      <xdr:col>10</xdr:col>
      <xdr:colOff>669334</xdr:colOff>
      <xdr:row>37</xdr:row>
      <xdr:rowOff>0</xdr:rowOff>
    </xdr:to>
    <xdr:sp macro="" textlink="">
      <xdr:nvSpPr>
        <xdr:cNvPr id="6" name="Retângulo 5">
          <a:extLst>
            <a:ext uri="{FF2B5EF4-FFF2-40B4-BE49-F238E27FC236}">
              <a16:creationId xmlns:a16="http://schemas.microsoft.com/office/drawing/2014/main" id="{9F798586-1826-4B0C-ABAB-D756FF9E95E0}"/>
            </a:ext>
          </a:extLst>
        </xdr:cNvPr>
        <xdr:cNvSpPr/>
      </xdr:nvSpPr>
      <xdr:spPr>
        <a:xfrm>
          <a:off x="5252148" y="5740854"/>
          <a:ext cx="3060705" cy="3504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pt-BR" sz="1050" b="0">
              <a:solidFill>
                <a:schemeClr val="bg1">
                  <a:lumMod val="50000"/>
                </a:schemeClr>
              </a:solidFill>
              <a:latin typeface="Bradesco Sans SemiBold" panose="00000700000000000000" pitchFamily="2" charset="0"/>
            </a:rPr>
            <a:t>Click on the buttons</a:t>
          </a:r>
          <a:r>
            <a:rPr lang="pt-BR" sz="1050" b="0" baseline="0">
              <a:solidFill>
                <a:schemeClr val="bg1">
                  <a:lumMod val="50000"/>
                </a:schemeClr>
              </a:solidFill>
              <a:latin typeface="Bradesco Sans SemiBold" panose="00000700000000000000" pitchFamily="2" charset="0"/>
            </a:rPr>
            <a:t> above to be directed</a:t>
          </a:r>
          <a:endParaRPr lang="pt-BR" sz="1050" b="0">
            <a:solidFill>
              <a:schemeClr val="bg1">
                <a:lumMod val="50000"/>
              </a:schemeClr>
            </a:solidFill>
            <a:latin typeface="Bradesco Sans SemiBold" panose="00000700000000000000" pitchFamily="2" charset="0"/>
          </a:endParaRPr>
        </a:p>
      </xdr:txBody>
    </xdr:sp>
    <xdr:clientData/>
  </xdr:twoCellAnchor>
  <xdr:twoCellAnchor>
    <xdr:from>
      <xdr:col>5</xdr:col>
      <xdr:colOff>545806</xdr:colOff>
      <xdr:row>37</xdr:row>
      <xdr:rowOff>26250</xdr:rowOff>
    </xdr:from>
    <xdr:to>
      <xdr:col>11</xdr:col>
      <xdr:colOff>705646</xdr:colOff>
      <xdr:row>44</xdr:row>
      <xdr:rowOff>0</xdr:rowOff>
    </xdr:to>
    <xdr:grpSp>
      <xdr:nvGrpSpPr>
        <xdr:cNvPr id="7" name="Agrupar 6">
          <a:extLst>
            <a:ext uri="{FF2B5EF4-FFF2-40B4-BE49-F238E27FC236}">
              <a16:creationId xmlns:a16="http://schemas.microsoft.com/office/drawing/2014/main" id="{058B5A0A-EF40-4790-A365-62DD8ABBFE04}"/>
            </a:ext>
          </a:extLst>
        </xdr:cNvPr>
        <xdr:cNvGrpSpPr/>
      </xdr:nvGrpSpPr>
      <xdr:grpSpPr>
        <a:xfrm>
          <a:off x="3697287" y="6291583"/>
          <a:ext cx="3865418" cy="1102639"/>
          <a:chOff x="4190399" y="5574789"/>
          <a:chExt cx="4787482" cy="353715"/>
        </a:xfrm>
      </xdr:grpSpPr>
      <xdr:sp macro="" textlink="">
        <xdr:nvSpPr>
          <xdr:cNvPr id="8" name="Retângulo Arredondado 11">
            <a:hlinkClick xmlns:r="http://schemas.openxmlformats.org/officeDocument/2006/relationships" r:id="rId4"/>
            <a:extLst>
              <a:ext uri="{FF2B5EF4-FFF2-40B4-BE49-F238E27FC236}">
                <a16:creationId xmlns:a16="http://schemas.microsoft.com/office/drawing/2014/main" id="{B05C48D7-C995-08F1-4E01-40A4A9399BB3}"/>
              </a:ext>
            </a:extLst>
          </xdr:cNvPr>
          <xdr:cNvSpPr/>
        </xdr:nvSpPr>
        <xdr:spPr>
          <a:xfrm>
            <a:off x="4190399" y="5583600"/>
            <a:ext cx="2501536" cy="336092"/>
          </a:xfrm>
          <a:prstGeom prst="snip2Diag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0" u="sng">
                <a:solidFill>
                  <a:srgbClr val="CC092F"/>
                </a:solidFill>
                <a:latin typeface="Bradesco Sans SemiBold" panose="00000700000000000000" pitchFamily="2" charset="0"/>
              </a:rPr>
              <a:t>Performance</a:t>
            </a:r>
          </a:p>
        </xdr:txBody>
      </xdr:sp>
      <xdr:sp macro="" textlink="">
        <xdr:nvSpPr>
          <xdr:cNvPr id="9" name="Retângulo Arredondado 12">
            <a:hlinkClick xmlns:r="http://schemas.openxmlformats.org/officeDocument/2006/relationships" r:id="rId5"/>
            <a:extLst>
              <a:ext uri="{FF2B5EF4-FFF2-40B4-BE49-F238E27FC236}">
                <a16:creationId xmlns:a16="http://schemas.microsoft.com/office/drawing/2014/main" id="{087B8FC1-845A-DC7C-E964-A07A4FFE3DF1}"/>
              </a:ext>
            </a:extLst>
          </xdr:cNvPr>
          <xdr:cNvSpPr/>
        </xdr:nvSpPr>
        <xdr:spPr>
          <a:xfrm>
            <a:off x="6494949" y="5574789"/>
            <a:ext cx="2482932" cy="353715"/>
          </a:xfrm>
          <a:prstGeom prst="snip2Diag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0" u="sng">
                <a:solidFill>
                  <a:srgbClr val="CC092F"/>
                </a:solidFill>
                <a:latin typeface="Bradesco Sans SemiBold" panose="00000700000000000000" pitchFamily="2" charset="0"/>
              </a:rPr>
              <a:t>Board of Directors</a:t>
            </a:r>
          </a:p>
        </xdr:txBody>
      </xdr:sp>
    </xdr:grpSp>
    <xdr:clientData/>
  </xdr:twoCellAnchor>
  <xdr:twoCellAnchor>
    <xdr:from>
      <xdr:col>7</xdr:col>
      <xdr:colOff>235781</xdr:colOff>
      <xdr:row>29</xdr:row>
      <xdr:rowOff>24596</xdr:rowOff>
    </xdr:from>
    <xdr:to>
      <xdr:col>10</xdr:col>
      <xdr:colOff>247984</xdr:colOff>
      <xdr:row>31</xdr:row>
      <xdr:rowOff>151643</xdr:rowOff>
    </xdr:to>
    <xdr:sp macro="" textlink="">
      <xdr:nvSpPr>
        <xdr:cNvPr id="10" name="Retângulo Arredondado 7">
          <a:hlinkClick xmlns:r="http://schemas.openxmlformats.org/officeDocument/2006/relationships" r:id="rId6"/>
          <a:extLst>
            <a:ext uri="{FF2B5EF4-FFF2-40B4-BE49-F238E27FC236}">
              <a16:creationId xmlns:a16="http://schemas.microsoft.com/office/drawing/2014/main" id="{48C5DFEE-705F-48AD-9593-BFA4146B67EA}"/>
            </a:ext>
          </a:extLst>
        </xdr:cNvPr>
        <xdr:cNvSpPr/>
      </xdr:nvSpPr>
      <xdr:spPr>
        <a:xfrm flipH="1">
          <a:off x="5569781" y="4544641"/>
          <a:ext cx="2298203" cy="438775"/>
        </a:xfrm>
        <a:prstGeom prst="roundRect">
          <a:avLst/>
        </a:prstGeom>
        <a:solidFill>
          <a:schemeClr val="bg2">
            <a:lumMod val="75000"/>
          </a:schemeClr>
        </a:solidFill>
        <a:ln w="285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0">
              <a:latin typeface="Bradesco Sans SemiBold" panose="00000700000000000000" pitchFamily="2" charset="0"/>
            </a:rPr>
            <a:t>SDG</a:t>
          </a:r>
        </a:p>
      </xdr:txBody>
    </xdr:sp>
    <xdr:clientData/>
  </xdr:twoCellAnchor>
  <xdr:twoCellAnchor>
    <xdr:from>
      <xdr:col>11</xdr:col>
      <xdr:colOff>473976</xdr:colOff>
      <xdr:row>29</xdr:row>
      <xdr:rowOff>24596</xdr:rowOff>
    </xdr:from>
    <xdr:to>
      <xdr:col>14</xdr:col>
      <xdr:colOff>474989</xdr:colOff>
      <xdr:row>31</xdr:row>
      <xdr:rowOff>151643</xdr:rowOff>
    </xdr:to>
    <xdr:sp macro="" textlink="">
      <xdr:nvSpPr>
        <xdr:cNvPr id="11" name="Retângulo Arredondado 8">
          <a:hlinkClick xmlns:r="http://schemas.openxmlformats.org/officeDocument/2006/relationships" r:id="rId7"/>
          <a:extLst>
            <a:ext uri="{FF2B5EF4-FFF2-40B4-BE49-F238E27FC236}">
              <a16:creationId xmlns:a16="http://schemas.microsoft.com/office/drawing/2014/main" id="{3A498C47-FA55-4E6C-A472-09099B288E9B}"/>
            </a:ext>
          </a:extLst>
        </xdr:cNvPr>
        <xdr:cNvSpPr/>
      </xdr:nvSpPr>
      <xdr:spPr>
        <a:xfrm flipH="1">
          <a:off x="8855976" y="4544641"/>
          <a:ext cx="2287013" cy="438775"/>
        </a:xfrm>
        <a:prstGeom prst="roundRect">
          <a:avLst/>
        </a:prstGeom>
        <a:solidFill>
          <a:schemeClr val="bg2">
            <a:lumMod val="75000"/>
          </a:schemeClr>
        </a:solidFill>
        <a:ln w="285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0">
              <a:latin typeface="Bradesco Sans SemiBold" panose="00000700000000000000" pitchFamily="2" charset="0"/>
            </a:rPr>
            <a:t>Stakeholders</a:t>
          </a:r>
        </a:p>
      </xdr:txBody>
    </xdr:sp>
    <xdr:clientData/>
  </xdr:twoCellAnchor>
  <xdr:twoCellAnchor editAs="oneCell">
    <xdr:from>
      <xdr:col>4</xdr:col>
      <xdr:colOff>40361</xdr:colOff>
      <xdr:row>19</xdr:row>
      <xdr:rowOff>75250</xdr:rowOff>
    </xdr:from>
    <xdr:to>
      <xdr:col>4</xdr:col>
      <xdr:colOff>696686</xdr:colOff>
      <xdr:row>22</xdr:row>
      <xdr:rowOff>136069</xdr:rowOff>
    </xdr:to>
    <xdr:pic>
      <xdr:nvPicPr>
        <xdr:cNvPr id="12" name="Imagem 11">
          <a:extLst>
            <a:ext uri="{FF2B5EF4-FFF2-40B4-BE49-F238E27FC236}">
              <a16:creationId xmlns:a16="http://schemas.microsoft.com/office/drawing/2014/main" id="{DB0404E3-76D6-4F1A-AA2F-2DF0D0B9FB6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9421" t="18260" r="30360" b="19131"/>
        <a:stretch/>
      </xdr:blipFill>
      <xdr:spPr>
        <a:xfrm>
          <a:off x="3088361" y="2386650"/>
          <a:ext cx="656325" cy="556119"/>
        </a:xfrm>
        <a:prstGeom prst="rect">
          <a:avLst/>
        </a:prstGeom>
      </xdr:spPr>
    </xdr:pic>
    <xdr:clientData/>
  </xdr:twoCellAnchor>
  <xdr:twoCellAnchor editAs="oneCell">
    <xdr:from>
      <xdr:col>12</xdr:col>
      <xdr:colOff>522515</xdr:colOff>
      <xdr:row>19</xdr:row>
      <xdr:rowOff>125083</xdr:rowOff>
    </xdr:from>
    <xdr:to>
      <xdr:col>13</xdr:col>
      <xdr:colOff>494212</xdr:colOff>
      <xdr:row>23</xdr:row>
      <xdr:rowOff>1679</xdr:rowOff>
    </xdr:to>
    <xdr:pic>
      <xdr:nvPicPr>
        <xdr:cNvPr id="13" name="Imagem 12">
          <a:extLst>
            <a:ext uri="{FF2B5EF4-FFF2-40B4-BE49-F238E27FC236}">
              <a16:creationId xmlns:a16="http://schemas.microsoft.com/office/drawing/2014/main" id="{8F14435D-B295-482C-937D-6E69BC21BB7A}"/>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8795" t="22933" r="28169" b="24800"/>
        <a:stretch/>
      </xdr:blipFill>
      <xdr:spPr>
        <a:xfrm>
          <a:off x="9666515" y="2436483"/>
          <a:ext cx="733697" cy="536997"/>
        </a:xfrm>
        <a:prstGeom prst="rect">
          <a:avLst/>
        </a:prstGeom>
      </xdr:spPr>
    </xdr:pic>
    <xdr:clientData/>
  </xdr:twoCellAnchor>
  <xdr:twoCellAnchor editAs="oneCell">
    <xdr:from>
      <xdr:col>8</xdr:col>
      <xdr:colOff>97972</xdr:colOff>
      <xdr:row>19</xdr:row>
      <xdr:rowOff>97969</xdr:rowOff>
    </xdr:from>
    <xdr:to>
      <xdr:col>9</xdr:col>
      <xdr:colOff>371494</xdr:colOff>
      <xdr:row>23</xdr:row>
      <xdr:rowOff>28455</xdr:rowOff>
    </xdr:to>
    <xdr:pic>
      <xdr:nvPicPr>
        <xdr:cNvPr id="14" name="Imagem 13">
          <a:extLst>
            <a:ext uri="{FF2B5EF4-FFF2-40B4-BE49-F238E27FC236}">
              <a16:creationId xmlns:a16="http://schemas.microsoft.com/office/drawing/2014/main" id="{EC05EE94-1161-425F-9F51-CC34B0DD9687}"/>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4791" t="26154" r="25490" b="23077"/>
        <a:stretch/>
      </xdr:blipFill>
      <xdr:spPr>
        <a:xfrm>
          <a:off x="6193972" y="2409369"/>
          <a:ext cx="1035522" cy="590887"/>
        </a:xfrm>
        <a:prstGeom prst="rect">
          <a:avLst/>
        </a:prstGeom>
      </xdr:spPr>
    </xdr:pic>
    <xdr:clientData/>
  </xdr:twoCellAnchor>
  <xdr:twoCellAnchor editAs="oneCell">
    <xdr:from>
      <xdr:col>6</xdr:col>
      <xdr:colOff>439491</xdr:colOff>
      <xdr:row>33</xdr:row>
      <xdr:rowOff>102506</xdr:rowOff>
    </xdr:from>
    <xdr:to>
      <xdr:col>7</xdr:col>
      <xdr:colOff>246724</xdr:colOff>
      <xdr:row>38</xdr:row>
      <xdr:rowOff>26304</xdr:rowOff>
    </xdr:to>
    <xdr:pic>
      <xdr:nvPicPr>
        <xdr:cNvPr id="15" name="Imagem 14">
          <a:extLst>
            <a:ext uri="{FF2B5EF4-FFF2-40B4-BE49-F238E27FC236}">
              <a16:creationId xmlns:a16="http://schemas.microsoft.com/office/drawing/2014/main" id="{09B0BD5E-FD89-4252-8ED0-3480DFD0A0E9}"/>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31142" r="29560"/>
        <a:stretch/>
      </xdr:blipFill>
      <xdr:spPr>
        <a:xfrm>
          <a:off x="5025602" y="5535284"/>
          <a:ext cx="571585" cy="746946"/>
        </a:xfrm>
        <a:prstGeom prst="rect">
          <a:avLst/>
        </a:prstGeom>
      </xdr:spPr>
    </xdr:pic>
    <xdr:clientData/>
  </xdr:twoCellAnchor>
  <xdr:twoCellAnchor>
    <xdr:from>
      <xdr:col>2</xdr:col>
      <xdr:colOff>759581</xdr:colOff>
      <xdr:row>29</xdr:row>
      <xdr:rowOff>24596</xdr:rowOff>
    </xdr:from>
    <xdr:to>
      <xdr:col>5</xdr:col>
      <xdr:colOff>760593</xdr:colOff>
      <xdr:row>31</xdr:row>
      <xdr:rowOff>151643</xdr:rowOff>
    </xdr:to>
    <xdr:sp macro="" textlink="">
      <xdr:nvSpPr>
        <xdr:cNvPr id="16" name="Retângulo Arredondado 8">
          <a:hlinkClick xmlns:r="http://schemas.openxmlformats.org/officeDocument/2006/relationships" r:id="rId12"/>
          <a:extLst>
            <a:ext uri="{FF2B5EF4-FFF2-40B4-BE49-F238E27FC236}">
              <a16:creationId xmlns:a16="http://schemas.microsoft.com/office/drawing/2014/main" id="{F25CAD4E-2325-4C1D-8ED4-66F2FDA6DB0E}"/>
            </a:ext>
          </a:extLst>
        </xdr:cNvPr>
        <xdr:cNvSpPr/>
      </xdr:nvSpPr>
      <xdr:spPr>
        <a:xfrm flipH="1">
          <a:off x="2283581" y="4544641"/>
          <a:ext cx="2287012" cy="438775"/>
        </a:xfrm>
        <a:prstGeom prst="roundRect">
          <a:avLst/>
        </a:prstGeom>
        <a:solidFill>
          <a:schemeClr val="bg2">
            <a:lumMod val="75000"/>
          </a:schemeClr>
        </a:solidFill>
        <a:ln w="285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0">
              <a:latin typeface="Bradesco Sans SemiBold" panose="00000700000000000000" pitchFamily="2" charset="0"/>
            </a:rPr>
            <a:t>Result - overseas locations</a:t>
          </a:r>
        </a:p>
      </xdr:txBody>
    </xdr:sp>
    <xdr:clientData/>
  </xdr:twoCellAnchor>
  <xdr:twoCellAnchor editAs="oneCell">
    <xdr:from>
      <xdr:col>0</xdr:col>
      <xdr:colOff>275872</xdr:colOff>
      <xdr:row>1</xdr:row>
      <xdr:rowOff>152871</xdr:rowOff>
    </xdr:from>
    <xdr:to>
      <xdr:col>17</xdr:col>
      <xdr:colOff>445912</xdr:colOff>
      <xdr:row>15</xdr:row>
      <xdr:rowOff>122194</xdr:rowOff>
    </xdr:to>
    <xdr:pic>
      <xdr:nvPicPr>
        <xdr:cNvPr id="20" name="Imagem 19">
          <a:extLst>
            <a:ext uri="{FF2B5EF4-FFF2-40B4-BE49-F238E27FC236}">
              <a16:creationId xmlns:a16="http://schemas.microsoft.com/office/drawing/2014/main" id="{CC449693-4793-1799-D264-24FC4DE833E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75872" y="317501"/>
          <a:ext cx="13164021" cy="2274137"/>
        </a:xfrm>
        <a:prstGeom prst="roundRect">
          <a:avLst>
            <a:gd name="adj" fmla="val 6842"/>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589321</xdr:colOff>
      <xdr:row>2</xdr:row>
      <xdr:rowOff>13197</xdr:rowOff>
    </xdr:from>
    <xdr:to>
      <xdr:col>12</xdr:col>
      <xdr:colOff>545353</xdr:colOff>
      <xdr:row>4</xdr:row>
      <xdr:rowOff>29882</xdr:rowOff>
    </xdr:to>
    <xdr:sp macro="" textlink="">
      <xdr:nvSpPr>
        <xdr:cNvPr id="2" name="TextBox 2">
          <a:extLst>
            <a:ext uri="{FF2B5EF4-FFF2-40B4-BE49-F238E27FC236}">
              <a16:creationId xmlns:a16="http://schemas.microsoft.com/office/drawing/2014/main" id="{00000000-0008-0000-0300-000002000000}"/>
            </a:ext>
          </a:extLst>
        </xdr:cNvPr>
        <xdr:cNvSpPr txBox="1"/>
      </xdr:nvSpPr>
      <xdr:spPr>
        <a:xfrm>
          <a:off x="5183733" y="341903"/>
          <a:ext cx="10071208" cy="345391"/>
        </a:xfrm>
        <a:prstGeom prst="roundRect">
          <a:avLst/>
        </a:prstGeom>
        <a:solidFill>
          <a:srgbClr val="CC092F"/>
        </a:solidFill>
        <a:ln w="28575" cmpd="sng">
          <a:noFill/>
        </a:ln>
        <a:effectLst>
          <a:outerShdw blurRad="50800" dist="38100" dir="5400000" algn="t"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b="1" i="0" u="none" strike="noStrike" baseline="0">
              <a:solidFill>
                <a:schemeClr val="bg1"/>
              </a:solidFill>
              <a:latin typeface="Bradesco Sans" panose="00000500000000000000" pitchFamily="2" charset="0"/>
              <a:ea typeface="+mn-ea"/>
              <a:cs typeface="Arial" panose="020B0604020202020204" pitchFamily="34" charset="0"/>
            </a:rPr>
            <a:t>Environmental </a:t>
          </a:r>
          <a:endParaRPr lang="en-AU" sz="1800">
            <a:solidFill>
              <a:schemeClr val="bg1"/>
            </a:solidFill>
            <a:effectLst/>
          </a:endParaRPr>
        </a:p>
      </xdr:txBody>
    </xdr:sp>
    <xdr:clientData/>
  </xdr:twoCellAnchor>
  <xdr:twoCellAnchor>
    <xdr:from>
      <xdr:col>13</xdr:col>
      <xdr:colOff>1670326</xdr:colOff>
      <xdr:row>1</xdr:row>
      <xdr:rowOff>157101</xdr:rowOff>
    </xdr:from>
    <xdr:to>
      <xdr:col>13</xdr:col>
      <xdr:colOff>2368404</xdr:colOff>
      <xdr:row>4</xdr:row>
      <xdr:rowOff>10557</xdr:rowOff>
    </xdr:to>
    <xdr:sp macro="" textlink="">
      <xdr:nvSpPr>
        <xdr:cNvPr id="4" name="Retângulo Arredondado 3">
          <a:hlinkClick xmlns:r="http://schemas.openxmlformats.org/officeDocument/2006/relationships" r:id="rId1"/>
          <a:extLst>
            <a:ext uri="{FF2B5EF4-FFF2-40B4-BE49-F238E27FC236}">
              <a16:creationId xmlns:a16="http://schemas.microsoft.com/office/drawing/2014/main" id="{00000000-0008-0000-0300-000004000000}"/>
            </a:ext>
          </a:extLst>
        </xdr:cNvPr>
        <xdr:cNvSpPr/>
      </xdr:nvSpPr>
      <xdr:spPr>
        <a:xfrm>
          <a:off x="19943385" y="321454"/>
          <a:ext cx="698078" cy="346515"/>
        </a:xfrm>
        <a:prstGeom prst="roundRect">
          <a:avLst/>
        </a:prstGeom>
        <a:solidFill>
          <a:srgbClr val="CC092F"/>
        </a:solidFill>
        <a:ln w="28575">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solidFill>
              <a:latin typeface="Bradesco Sans" panose="00000500000000000000" pitchFamily="2" charset="0"/>
            </a:rPr>
            <a:t>Back</a:t>
          </a:r>
        </a:p>
      </xdr:txBody>
    </xdr:sp>
    <xdr:clientData/>
  </xdr:twoCellAnchor>
  <xdr:twoCellAnchor editAs="oneCell">
    <xdr:from>
      <xdr:col>0</xdr:col>
      <xdr:colOff>206922</xdr:colOff>
      <xdr:row>1</xdr:row>
      <xdr:rowOff>20902</xdr:rowOff>
    </xdr:from>
    <xdr:to>
      <xdr:col>2</xdr:col>
      <xdr:colOff>1123095</xdr:colOff>
      <xdr:row>4</xdr:row>
      <xdr:rowOff>125794</xdr:rowOff>
    </xdr:to>
    <xdr:pic>
      <xdr:nvPicPr>
        <xdr:cNvPr id="5" name="Imagem 4">
          <a:extLst>
            <a:ext uri="{FF2B5EF4-FFF2-40B4-BE49-F238E27FC236}">
              <a16:creationId xmlns:a16="http://schemas.microsoft.com/office/drawing/2014/main" id="{770E745B-8DCE-40B6-860F-7CBF1D299B79}"/>
            </a:ext>
          </a:extLst>
        </xdr:cNvPr>
        <xdr:cNvPicPr>
          <a:picLocks noChangeAspect="1"/>
        </xdr:cNvPicPr>
      </xdr:nvPicPr>
      <xdr:blipFill rotWithShape="1">
        <a:blip xmlns:r="http://schemas.openxmlformats.org/officeDocument/2006/relationships" r:embed="rId2"/>
        <a:srcRect l="4283" t="14493" r="3742" b="9033"/>
        <a:stretch/>
      </xdr:blipFill>
      <xdr:spPr>
        <a:xfrm>
          <a:off x="206922" y="177656"/>
          <a:ext cx="2268385" cy="5688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1757257</xdr:colOff>
      <xdr:row>2</xdr:row>
      <xdr:rowOff>42334</xdr:rowOff>
    </xdr:from>
    <xdr:to>
      <xdr:col>11</xdr:col>
      <xdr:colOff>4402667</xdr:colOff>
      <xdr:row>4</xdr:row>
      <xdr:rowOff>95250</xdr:rowOff>
    </xdr:to>
    <xdr:sp macro="" textlink="">
      <xdr:nvSpPr>
        <xdr:cNvPr id="4" name="TextBox 2">
          <a:extLst>
            <a:ext uri="{FF2B5EF4-FFF2-40B4-BE49-F238E27FC236}">
              <a16:creationId xmlns:a16="http://schemas.microsoft.com/office/drawing/2014/main" id="{00000000-0008-0000-0100-000004000000}"/>
            </a:ext>
          </a:extLst>
        </xdr:cNvPr>
        <xdr:cNvSpPr txBox="1"/>
      </xdr:nvSpPr>
      <xdr:spPr>
        <a:xfrm>
          <a:off x="5313257" y="381001"/>
          <a:ext cx="18361660" cy="391582"/>
        </a:xfrm>
        <a:prstGeom prst="roundRect">
          <a:avLst/>
        </a:prstGeom>
        <a:solidFill>
          <a:srgbClr val="CC092F"/>
        </a:solidFill>
        <a:ln w="28575" cmpd="sng">
          <a:noFill/>
        </a:ln>
        <a:effectLst>
          <a:outerShdw blurRad="50800" dist="38100" dir="5400000" algn="t"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b="1" i="0" u="none" strike="noStrike" baseline="0">
              <a:solidFill>
                <a:schemeClr val="bg1"/>
              </a:solidFill>
              <a:latin typeface="Bradesco Sans" panose="00000500000000000000" pitchFamily="2" charset="0"/>
              <a:ea typeface="+mn-ea"/>
              <a:cs typeface="Arial" panose="020B0604020202020204" pitchFamily="34" charset="0"/>
            </a:rPr>
            <a:t>Social </a:t>
          </a:r>
          <a:endParaRPr lang="en-AU" sz="1800">
            <a:solidFill>
              <a:schemeClr val="bg1"/>
            </a:solidFill>
            <a:effectLst/>
          </a:endParaRPr>
        </a:p>
      </xdr:txBody>
    </xdr:sp>
    <xdr:clientData/>
  </xdr:twoCellAnchor>
  <xdr:twoCellAnchor editAs="oneCell">
    <xdr:from>
      <xdr:col>1</xdr:col>
      <xdr:colOff>0</xdr:colOff>
      <xdr:row>1</xdr:row>
      <xdr:rowOff>41802</xdr:rowOff>
    </xdr:from>
    <xdr:to>
      <xdr:col>2</xdr:col>
      <xdr:colOff>930748</xdr:colOff>
      <xdr:row>4</xdr:row>
      <xdr:rowOff>143519</xdr:rowOff>
    </xdr:to>
    <xdr:pic>
      <xdr:nvPicPr>
        <xdr:cNvPr id="9" name="Imagem 8">
          <a:extLst>
            <a:ext uri="{FF2B5EF4-FFF2-40B4-BE49-F238E27FC236}">
              <a16:creationId xmlns:a16="http://schemas.microsoft.com/office/drawing/2014/main" id="{0CEC53EE-A046-415E-9701-D0E1ADA81956}"/>
            </a:ext>
          </a:extLst>
        </xdr:cNvPr>
        <xdr:cNvPicPr>
          <a:picLocks noChangeAspect="1"/>
        </xdr:cNvPicPr>
      </xdr:nvPicPr>
      <xdr:blipFill rotWithShape="1">
        <a:blip xmlns:r="http://schemas.openxmlformats.org/officeDocument/2006/relationships" r:embed="rId1"/>
        <a:srcRect l="4283" t="14493" r="3742" b="9033"/>
        <a:stretch/>
      </xdr:blipFill>
      <xdr:spPr>
        <a:xfrm>
          <a:off x="219456" y="198556"/>
          <a:ext cx="2268385" cy="568805"/>
        </a:xfrm>
        <a:prstGeom prst="rect">
          <a:avLst/>
        </a:prstGeom>
      </xdr:spPr>
    </xdr:pic>
    <xdr:clientData/>
  </xdr:twoCellAnchor>
  <xdr:twoCellAnchor>
    <xdr:from>
      <xdr:col>12</xdr:col>
      <xdr:colOff>3711617</xdr:colOff>
      <xdr:row>2</xdr:row>
      <xdr:rowOff>53593</xdr:rowOff>
    </xdr:from>
    <xdr:to>
      <xdr:col>12</xdr:col>
      <xdr:colOff>4403345</xdr:colOff>
      <xdr:row>4</xdr:row>
      <xdr:rowOff>67921</xdr:rowOff>
    </xdr:to>
    <xdr:sp macro="" textlink="">
      <xdr:nvSpPr>
        <xdr:cNvPr id="7" name="Retângulo Arredondado 3">
          <a:hlinkClick xmlns:r="http://schemas.openxmlformats.org/officeDocument/2006/relationships" r:id="rId2"/>
          <a:extLst>
            <a:ext uri="{FF2B5EF4-FFF2-40B4-BE49-F238E27FC236}">
              <a16:creationId xmlns:a16="http://schemas.microsoft.com/office/drawing/2014/main" id="{B27E97BC-8C9B-4429-8995-2C9D516CB22F}"/>
            </a:ext>
          </a:extLst>
        </xdr:cNvPr>
        <xdr:cNvSpPr/>
      </xdr:nvSpPr>
      <xdr:spPr>
        <a:xfrm>
          <a:off x="27418284" y="392260"/>
          <a:ext cx="691728" cy="352994"/>
        </a:xfrm>
        <a:prstGeom prst="roundRect">
          <a:avLst/>
        </a:prstGeom>
        <a:solidFill>
          <a:srgbClr val="CC092F"/>
        </a:solidFill>
        <a:ln w="28575">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solidFill>
              <a:latin typeface="Bradesco Sans" panose="00000500000000000000" pitchFamily="2" charset="0"/>
            </a:rPr>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778938</xdr:colOff>
      <xdr:row>2</xdr:row>
      <xdr:rowOff>33867</xdr:rowOff>
    </xdr:from>
    <xdr:to>
      <xdr:col>11</xdr:col>
      <xdr:colOff>237072</xdr:colOff>
      <xdr:row>4</xdr:row>
      <xdr:rowOff>42335</xdr:rowOff>
    </xdr:to>
    <xdr:sp macro="" textlink="">
      <xdr:nvSpPr>
        <xdr:cNvPr id="2" name="TextBox 2">
          <a:extLst>
            <a:ext uri="{FF2B5EF4-FFF2-40B4-BE49-F238E27FC236}">
              <a16:creationId xmlns:a16="http://schemas.microsoft.com/office/drawing/2014/main" id="{00000000-0008-0000-0200-000002000000}"/>
            </a:ext>
          </a:extLst>
        </xdr:cNvPr>
        <xdr:cNvSpPr txBox="1"/>
      </xdr:nvSpPr>
      <xdr:spPr>
        <a:xfrm>
          <a:off x="3979338" y="372534"/>
          <a:ext cx="15223067" cy="347134"/>
        </a:xfrm>
        <a:prstGeom prst="roundRect">
          <a:avLst/>
        </a:prstGeom>
        <a:solidFill>
          <a:srgbClr val="CC092F"/>
        </a:solidFill>
        <a:ln w="28575" cmpd="sng">
          <a:noFill/>
        </a:ln>
        <a:effectLst>
          <a:outerShdw blurRad="50800" dist="38100" dir="5400000" algn="t"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b="1" i="0" u="none" strike="noStrike" baseline="0">
              <a:solidFill>
                <a:schemeClr val="bg1"/>
              </a:solidFill>
              <a:latin typeface="Bradesco Sans" panose="00000500000000000000" pitchFamily="2" charset="0"/>
              <a:ea typeface="+mn-ea"/>
              <a:cs typeface="Arial" panose="020B0604020202020204" pitchFamily="34" charset="0"/>
            </a:rPr>
            <a:t>Governance</a:t>
          </a:r>
          <a:endParaRPr lang="en-AU" sz="1800" b="1">
            <a:solidFill>
              <a:schemeClr val="bg1"/>
            </a:solidFill>
            <a:effectLst/>
          </a:endParaRPr>
        </a:p>
      </xdr:txBody>
    </xdr:sp>
    <xdr:clientData/>
  </xdr:twoCellAnchor>
  <xdr:twoCellAnchor editAs="oneCell">
    <xdr:from>
      <xdr:col>1</xdr:col>
      <xdr:colOff>0</xdr:colOff>
      <xdr:row>1</xdr:row>
      <xdr:rowOff>31351</xdr:rowOff>
    </xdr:from>
    <xdr:to>
      <xdr:col>2</xdr:col>
      <xdr:colOff>1087389</xdr:colOff>
      <xdr:row>4</xdr:row>
      <xdr:rowOff>126718</xdr:rowOff>
    </xdr:to>
    <xdr:pic>
      <xdr:nvPicPr>
        <xdr:cNvPr id="8" name="Imagem 7">
          <a:extLst>
            <a:ext uri="{FF2B5EF4-FFF2-40B4-BE49-F238E27FC236}">
              <a16:creationId xmlns:a16="http://schemas.microsoft.com/office/drawing/2014/main" id="{2873B5DA-4B0A-4040-BF4D-133280CEC753}"/>
            </a:ext>
          </a:extLst>
        </xdr:cNvPr>
        <xdr:cNvPicPr>
          <a:picLocks noChangeAspect="1"/>
        </xdr:cNvPicPr>
      </xdr:nvPicPr>
      <xdr:blipFill rotWithShape="1">
        <a:blip xmlns:r="http://schemas.openxmlformats.org/officeDocument/2006/relationships" r:embed="rId1"/>
        <a:srcRect l="4283" t="14493" r="3742" b="9033"/>
        <a:stretch/>
      </xdr:blipFill>
      <xdr:spPr>
        <a:xfrm>
          <a:off x="219456" y="188105"/>
          <a:ext cx="2268385" cy="568805"/>
        </a:xfrm>
        <a:prstGeom prst="rect">
          <a:avLst/>
        </a:prstGeom>
      </xdr:spPr>
    </xdr:pic>
    <xdr:clientData/>
  </xdr:twoCellAnchor>
  <xdr:twoCellAnchor>
    <xdr:from>
      <xdr:col>11</xdr:col>
      <xdr:colOff>2458517</xdr:colOff>
      <xdr:row>2</xdr:row>
      <xdr:rowOff>23909</xdr:rowOff>
    </xdr:from>
    <xdr:to>
      <xdr:col>11</xdr:col>
      <xdr:colOff>3156595</xdr:colOff>
      <xdr:row>4</xdr:row>
      <xdr:rowOff>33358</xdr:rowOff>
    </xdr:to>
    <xdr:sp macro="" textlink="">
      <xdr:nvSpPr>
        <xdr:cNvPr id="6" name="Retângulo Arredondado 3">
          <a:hlinkClick xmlns:r="http://schemas.openxmlformats.org/officeDocument/2006/relationships" r:id="rId2"/>
          <a:extLst>
            <a:ext uri="{FF2B5EF4-FFF2-40B4-BE49-F238E27FC236}">
              <a16:creationId xmlns:a16="http://schemas.microsoft.com/office/drawing/2014/main" id="{DC8D130D-0D50-4C65-87FB-3FC32E2FE94E}"/>
            </a:ext>
          </a:extLst>
        </xdr:cNvPr>
        <xdr:cNvSpPr/>
      </xdr:nvSpPr>
      <xdr:spPr>
        <a:xfrm>
          <a:off x="24590384" y="362576"/>
          <a:ext cx="698078" cy="348115"/>
        </a:xfrm>
        <a:prstGeom prst="roundRect">
          <a:avLst/>
        </a:prstGeom>
        <a:solidFill>
          <a:srgbClr val="CC092F"/>
        </a:solidFill>
        <a:ln w="28575">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chemeClr val="bg1"/>
              </a:solidFill>
              <a:latin typeface="Bradesco Sans" panose="00000500000000000000" pitchFamily="2" charset="0"/>
            </a:rPr>
            <a:t>Back</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2298699</xdr:colOff>
      <xdr:row>4</xdr:row>
      <xdr:rowOff>84976</xdr:rowOff>
    </xdr:to>
    <xdr:pic>
      <xdr:nvPicPr>
        <xdr:cNvPr id="2" name="Imagem 1">
          <a:extLst>
            <a:ext uri="{FF2B5EF4-FFF2-40B4-BE49-F238E27FC236}">
              <a16:creationId xmlns:a16="http://schemas.microsoft.com/office/drawing/2014/main" id="{8721C86C-5B9B-4BE2-9287-F3009B167C90}"/>
            </a:ext>
          </a:extLst>
        </xdr:cNvPr>
        <xdr:cNvPicPr>
          <a:picLocks noChangeAspect="1"/>
        </xdr:cNvPicPr>
      </xdr:nvPicPr>
      <xdr:blipFill rotWithShape="1">
        <a:blip xmlns:r="http://schemas.openxmlformats.org/officeDocument/2006/relationships" r:embed="rId1"/>
        <a:srcRect l="4283" t="14493" r="3742" b="9033"/>
        <a:stretch/>
      </xdr:blipFill>
      <xdr:spPr>
        <a:xfrm>
          <a:off x="222250" y="165100"/>
          <a:ext cx="2301874" cy="583451"/>
        </a:xfrm>
        <a:prstGeom prst="rect">
          <a:avLst/>
        </a:prstGeom>
      </xdr:spPr>
    </xdr:pic>
    <xdr:clientData/>
  </xdr:twoCellAnchor>
  <xdr:twoCellAnchor>
    <xdr:from>
      <xdr:col>8</xdr:col>
      <xdr:colOff>552450</xdr:colOff>
      <xdr:row>2</xdr:row>
      <xdr:rowOff>123824</xdr:rowOff>
    </xdr:from>
    <xdr:to>
      <xdr:col>8</xdr:col>
      <xdr:colOff>1187450</xdr:colOff>
      <xdr:row>4</xdr:row>
      <xdr:rowOff>87974</xdr:rowOff>
    </xdr:to>
    <xdr:sp macro="" textlink="">
      <xdr:nvSpPr>
        <xdr:cNvPr id="3" name="Retângulo Arredondado 3">
          <a:hlinkClick xmlns:r="http://schemas.openxmlformats.org/officeDocument/2006/relationships" r:id="rId2"/>
          <a:extLst>
            <a:ext uri="{FF2B5EF4-FFF2-40B4-BE49-F238E27FC236}">
              <a16:creationId xmlns:a16="http://schemas.microsoft.com/office/drawing/2014/main" id="{1190E32C-152A-4682-BDE7-48790DD2FA0C}"/>
            </a:ext>
          </a:extLst>
        </xdr:cNvPr>
        <xdr:cNvSpPr/>
      </xdr:nvSpPr>
      <xdr:spPr>
        <a:xfrm>
          <a:off x="12344400" y="447674"/>
          <a:ext cx="635000" cy="288000"/>
        </a:xfrm>
        <a:prstGeom prst="roundRect">
          <a:avLst/>
        </a:prstGeom>
        <a:solidFill>
          <a:srgbClr val="CC092F"/>
        </a:solidFill>
        <a:ln w="28575">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solidFill>
                <a:schemeClr val="bg1"/>
              </a:solidFill>
              <a:latin typeface="Bradesco Sans" panose="00000500000000000000" pitchFamily="2" charset="0"/>
            </a:rPr>
            <a:t>Back</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xdr:row>
      <xdr:rowOff>6349</xdr:rowOff>
    </xdr:from>
    <xdr:to>
      <xdr:col>2</xdr:col>
      <xdr:colOff>1211022</xdr:colOff>
      <xdr:row>4</xdr:row>
      <xdr:rowOff>103292</xdr:rowOff>
    </xdr:to>
    <xdr:pic>
      <xdr:nvPicPr>
        <xdr:cNvPr id="2" name="Imagem 1">
          <a:extLst>
            <a:ext uri="{FF2B5EF4-FFF2-40B4-BE49-F238E27FC236}">
              <a16:creationId xmlns:a16="http://schemas.microsoft.com/office/drawing/2014/main" id="{2C84949F-48EE-47D1-9C48-0AF08838C24E}"/>
            </a:ext>
          </a:extLst>
        </xdr:cNvPr>
        <xdr:cNvPicPr>
          <a:picLocks noChangeAspect="1"/>
        </xdr:cNvPicPr>
      </xdr:nvPicPr>
      <xdr:blipFill rotWithShape="1">
        <a:blip xmlns:r="http://schemas.openxmlformats.org/officeDocument/2006/relationships" r:embed="rId1"/>
        <a:srcRect l="4283" t="14493" r="3742" b="9033"/>
        <a:stretch/>
      </xdr:blipFill>
      <xdr:spPr>
        <a:xfrm>
          <a:off x="222249" y="165099"/>
          <a:ext cx="2233373" cy="573193"/>
        </a:xfrm>
        <a:prstGeom prst="rect">
          <a:avLst/>
        </a:prstGeom>
      </xdr:spPr>
    </xdr:pic>
    <xdr:clientData/>
  </xdr:twoCellAnchor>
  <xdr:twoCellAnchor>
    <xdr:from>
      <xdr:col>4</xdr:col>
      <xdr:colOff>2566241</xdr:colOff>
      <xdr:row>2</xdr:row>
      <xdr:rowOff>144934</xdr:rowOff>
    </xdr:from>
    <xdr:to>
      <xdr:col>4</xdr:col>
      <xdr:colOff>3156282</xdr:colOff>
      <xdr:row>4</xdr:row>
      <xdr:rowOff>103677</xdr:rowOff>
    </xdr:to>
    <xdr:sp macro="" textlink="">
      <xdr:nvSpPr>
        <xdr:cNvPr id="10" name="Retângulo Arredondado 3">
          <a:hlinkClick xmlns:r="http://schemas.openxmlformats.org/officeDocument/2006/relationships" r:id="rId2"/>
          <a:extLst>
            <a:ext uri="{FF2B5EF4-FFF2-40B4-BE49-F238E27FC236}">
              <a16:creationId xmlns:a16="http://schemas.microsoft.com/office/drawing/2014/main" id="{8C3E02A8-86FF-4EA3-8646-773CF7845C29}"/>
            </a:ext>
          </a:extLst>
        </xdr:cNvPr>
        <xdr:cNvSpPr/>
      </xdr:nvSpPr>
      <xdr:spPr>
        <a:xfrm>
          <a:off x="10766812" y="471505"/>
          <a:ext cx="590041" cy="285315"/>
        </a:xfrm>
        <a:prstGeom prst="roundRect">
          <a:avLst/>
        </a:prstGeom>
        <a:solidFill>
          <a:srgbClr val="CC092F"/>
        </a:solidFill>
        <a:ln w="28575">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solidFill>
                <a:schemeClr val="bg1"/>
              </a:solidFill>
              <a:latin typeface="Bradesco Sans" panose="00000500000000000000" pitchFamily="2" charset="0"/>
            </a:rPr>
            <a:t>Back</a:t>
          </a:r>
        </a:p>
      </xdr:txBody>
    </xdr:sp>
    <xdr:clientData/>
  </xdr:twoCellAnchor>
  <xdr:twoCellAnchor editAs="oneCell">
    <xdr:from>
      <xdr:col>2</xdr:col>
      <xdr:colOff>3092626</xdr:colOff>
      <xdr:row>1</xdr:row>
      <xdr:rowOff>34599</xdr:rowOff>
    </xdr:from>
    <xdr:to>
      <xdr:col>3</xdr:col>
      <xdr:colOff>2666368</xdr:colOff>
      <xdr:row>5</xdr:row>
      <xdr:rowOff>6770</xdr:rowOff>
    </xdr:to>
    <xdr:pic>
      <xdr:nvPicPr>
        <xdr:cNvPr id="11" name="Imagem 10">
          <a:extLst>
            <a:ext uri="{FF2B5EF4-FFF2-40B4-BE49-F238E27FC236}">
              <a16:creationId xmlns:a16="http://schemas.microsoft.com/office/drawing/2014/main" id="{BE027F57-4B18-4FA7-8151-CC77C66DF87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280"/>
        <a:stretch/>
      </xdr:blipFill>
      <xdr:spPr>
        <a:xfrm>
          <a:off x="4337226" y="193349"/>
          <a:ext cx="3364692" cy="607171"/>
        </a:xfrm>
        <a:prstGeom prst="rect">
          <a:avLst/>
        </a:prstGeom>
      </xdr:spPr>
    </xdr:pic>
    <xdr:clientData/>
  </xdr:twoCellAnchor>
  <xdr:twoCellAnchor editAs="oneCell">
    <xdr:from>
      <xdr:col>1</xdr:col>
      <xdr:colOff>177800</xdr:colOff>
      <xdr:row>7</xdr:row>
      <xdr:rowOff>349250</xdr:rowOff>
    </xdr:from>
    <xdr:to>
      <xdr:col>1</xdr:col>
      <xdr:colOff>897800</xdr:colOff>
      <xdr:row>8</xdr:row>
      <xdr:rowOff>408850</xdr:rowOff>
    </xdr:to>
    <xdr:pic>
      <xdr:nvPicPr>
        <xdr:cNvPr id="13" name="Imagem 12">
          <a:extLst>
            <a:ext uri="{FF2B5EF4-FFF2-40B4-BE49-F238E27FC236}">
              <a16:creationId xmlns:a16="http://schemas.microsoft.com/office/drawing/2014/main" id="{CA269587-E172-BF90-9A78-CFC7373A6B3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0050" y="1555750"/>
          <a:ext cx="720000" cy="720000"/>
        </a:xfrm>
        <a:prstGeom prst="rect">
          <a:avLst/>
        </a:prstGeom>
      </xdr:spPr>
    </xdr:pic>
    <xdr:clientData/>
  </xdr:twoCellAnchor>
  <xdr:twoCellAnchor editAs="oneCell">
    <xdr:from>
      <xdr:col>1</xdr:col>
      <xdr:colOff>175400</xdr:colOff>
      <xdr:row>9</xdr:row>
      <xdr:rowOff>308750</xdr:rowOff>
    </xdr:from>
    <xdr:to>
      <xdr:col>1</xdr:col>
      <xdr:colOff>895400</xdr:colOff>
      <xdr:row>11</xdr:row>
      <xdr:rowOff>203250</xdr:rowOff>
    </xdr:to>
    <xdr:pic>
      <xdr:nvPicPr>
        <xdr:cNvPr id="15" name="Imagem 14">
          <a:extLst>
            <a:ext uri="{FF2B5EF4-FFF2-40B4-BE49-F238E27FC236}">
              <a16:creationId xmlns:a16="http://schemas.microsoft.com/office/drawing/2014/main" id="{82B86B75-2893-306D-4F78-B98CEC2670D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97650" y="3007500"/>
          <a:ext cx="720000" cy="720000"/>
        </a:xfrm>
        <a:prstGeom prst="rect">
          <a:avLst/>
        </a:prstGeom>
      </xdr:spPr>
    </xdr:pic>
    <xdr:clientData/>
  </xdr:twoCellAnchor>
  <xdr:twoCellAnchor editAs="oneCell">
    <xdr:from>
      <xdr:col>1</xdr:col>
      <xdr:colOff>141250</xdr:colOff>
      <xdr:row>14</xdr:row>
      <xdr:rowOff>293650</xdr:rowOff>
    </xdr:from>
    <xdr:to>
      <xdr:col>1</xdr:col>
      <xdr:colOff>861250</xdr:colOff>
      <xdr:row>15</xdr:row>
      <xdr:rowOff>23050</xdr:rowOff>
    </xdr:to>
    <xdr:pic>
      <xdr:nvPicPr>
        <xdr:cNvPr id="17" name="Imagem 16">
          <a:extLst>
            <a:ext uri="{FF2B5EF4-FFF2-40B4-BE49-F238E27FC236}">
              <a16:creationId xmlns:a16="http://schemas.microsoft.com/office/drawing/2014/main" id="{2EBE9362-189B-0367-E82E-7BF4118DD1A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63500" y="5640350"/>
          <a:ext cx="720000" cy="720000"/>
        </a:xfrm>
        <a:prstGeom prst="rect">
          <a:avLst/>
        </a:prstGeom>
      </xdr:spPr>
    </xdr:pic>
    <xdr:clientData/>
  </xdr:twoCellAnchor>
  <xdr:twoCellAnchor editAs="oneCell">
    <xdr:from>
      <xdr:col>1</xdr:col>
      <xdr:colOff>157900</xdr:colOff>
      <xdr:row>18</xdr:row>
      <xdr:rowOff>240450</xdr:rowOff>
    </xdr:from>
    <xdr:to>
      <xdr:col>1</xdr:col>
      <xdr:colOff>877900</xdr:colOff>
      <xdr:row>19</xdr:row>
      <xdr:rowOff>300050</xdr:rowOff>
    </xdr:to>
    <xdr:pic>
      <xdr:nvPicPr>
        <xdr:cNvPr id="19" name="Imagem 18">
          <a:extLst>
            <a:ext uri="{FF2B5EF4-FFF2-40B4-BE49-F238E27FC236}">
              <a16:creationId xmlns:a16="http://schemas.microsoft.com/office/drawing/2014/main" id="{B5BDF2CB-CAA0-D1BD-A5CC-0688F059ED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80150" y="8895500"/>
          <a:ext cx="720000" cy="720000"/>
        </a:xfrm>
        <a:prstGeom prst="rect">
          <a:avLst/>
        </a:prstGeom>
      </xdr:spPr>
    </xdr:pic>
    <xdr:clientData/>
  </xdr:twoCellAnchor>
  <xdr:twoCellAnchor editAs="oneCell">
    <xdr:from>
      <xdr:col>1</xdr:col>
      <xdr:colOff>161850</xdr:colOff>
      <xdr:row>20</xdr:row>
      <xdr:rowOff>257100</xdr:rowOff>
    </xdr:from>
    <xdr:to>
      <xdr:col>1</xdr:col>
      <xdr:colOff>881850</xdr:colOff>
      <xdr:row>21</xdr:row>
      <xdr:rowOff>316700</xdr:rowOff>
    </xdr:to>
    <xdr:pic>
      <xdr:nvPicPr>
        <xdr:cNvPr id="21" name="Imagem 20">
          <a:extLst>
            <a:ext uri="{FF2B5EF4-FFF2-40B4-BE49-F238E27FC236}">
              <a16:creationId xmlns:a16="http://schemas.microsoft.com/office/drawing/2014/main" id="{65D285B7-FC63-3E4D-C0F9-866EED3B98F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4100" y="10734600"/>
          <a:ext cx="720000" cy="720000"/>
        </a:xfrm>
        <a:prstGeom prst="rect">
          <a:avLst/>
        </a:prstGeom>
      </xdr:spPr>
    </xdr:pic>
    <xdr:clientData/>
  </xdr:twoCellAnchor>
  <xdr:twoCellAnchor editAs="oneCell">
    <xdr:from>
      <xdr:col>1</xdr:col>
      <xdr:colOff>165800</xdr:colOff>
      <xdr:row>23</xdr:row>
      <xdr:rowOff>273750</xdr:rowOff>
    </xdr:from>
    <xdr:to>
      <xdr:col>1</xdr:col>
      <xdr:colOff>885800</xdr:colOff>
      <xdr:row>25</xdr:row>
      <xdr:rowOff>333350</xdr:rowOff>
    </xdr:to>
    <xdr:pic>
      <xdr:nvPicPr>
        <xdr:cNvPr id="23" name="Imagem 22">
          <a:extLst>
            <a:ext uri="{FF2B5EF4-FFF2-40B4-BE49-F238E27FC236}">
              <a16:creationId xmlns:a16="http://schemas.microsoft.com/office/drawing/2014/main" id="{A4BF6685-AA01-8612-2B75-282A37CE7FB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8050" y="12408600"/>
          <a:ext cx="720000" cy="72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6350</xdr:colOff>
      <xdr:row>1</xdr:row>
      <xdr:rowOff>6350</xdr:rowOff>
    </xdr:from>
    <xdr:to>
      <xdr:col>2</xdr:col>
      <xdr:colOff>849041</xdr:colOff>
      <xdr:row>4</xdr:row>
      <xdr:rowOff>20901</xdr:rowOff>
    </xdr:to>
    <xdr:pic>
      <xdr:nvPicPr>
        <xdr:cNvPr id="2" name="Imagem 1">
          <a:extLst>
            <a:ext uri="{FF2B5EF4-FFF2-40B4-BE49-F238E27FC236}">
              <a16:creationId xmlns:a16="http://schemas.microsoft.com/office/drawing/2014/main" id="{52821DCE-3355-413B-B3F3-21EF1E1B7F52}"/>
            </a:ext>
          </a:extLst>
        </xdr:cNvPr>
        <xdr:cNvPicPr>
          <a:picLocks noChangeAspect="1"/>
        </xdr:cNvPicPr>
      </xdr:nvPicPr>
      <xdr:blipFill rotWithShape="1">
        <a:blip xmlns:r="http://schemas.openxmlformats.org/officeDocument/2006/relationships" r:embed="rId1"/>
        <a:srcRect l="4283" t="14493" r="3742" b="9033"/>
        <a:stretch/>
      </xdr:blipFill>
      <xdr:spPr>
        <a:xfrm>
          <a:off x="228600" y="165100"/>
          <a:ext cx="2179366" cy="560651"/>
        </a:xfrm>
        <a:prstGeom prst="rect">
          <a:avLst/>
        </a:prstGeom>
      </xdr:spPr>
    </xdr:pic>
    <xdr:clientData/>
  </xdr:twoCellAnchor>
  <xdr:twoCellAnchor>
    <xdr:from>
      <xdr:col>7</xdr:col>
      <xdr:colOff>2793401</xdr:colOff>
      <xdr:row>1</xdr:row>
      <xdr:rowOff>129863</xdr:rowOff>
    </xdr:from>
    <xdr:to>
      <xdr:col>7</xdr:col>
      <xdr:colOff>3389474</xdr:colOff>
      <xdr:row>3</xdr:row>
      <xdr:rowOff>40363</xdr:rowOff>
    </xdr:to>
    <xdr:sp macro="" textlink="">
      <xdr:nvSpPr>
        <xdr:cNvPr id="3" name="Retângulo Arredondado 3">
          <a:hlinkClick xmlns:r="http://schemas.openxmlformats.org/officeDocument/2006/relationships" r:id="rId2"/>
          <a:extLst>
            <a:ext uri="{FF2B5EF4-FFF2-40B4-BE49-F238E27FC236}">
              <a16:creationId xmlns:a16="http://schemas.microsoft.com/office/drawing/2014/main" id="{08F97097-608B-4CC1-92EF-D90A02D51491}"/>
            </a:ext>
          </a:extLst>
        </xdr:cNvPr>
        <xdr:cNvSpPr/>
      </xdr:nvSpPr>
      <xdr:spPr>
        <a:xfrm>
          <a:off x="13214457" y="292141"/>
          <a:ext cx="596073" cy="298555"/>
        </a:xfrm>
        <a:prstGeom prst="roundRect">
          <a:avLst/>
        </a:prstGeom>
        <a:solidFill>
          <a:srgbClr val="CC092F"/>
        </a:solidFill>
        <a:ln w="28575">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solidFill>
                <a:schemeClr val="bg1"/>
              </a:solidFill>
              <a:latin typeface="Bradesco Sans" panose="00000500000000000000" pitchFamily="2" charset="0"/>
            </a:rPr>
            <a:t>Back</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mz-cw-fs-066\D8394_1\Compartilhado_Secoes\Sustentabilidade\Comunicacao\Relatorios\00_Relatorio_Integrado\2023\04_asseguracao\05_evidencias_ESG\01_Subidos-no-OneDrive\Patrimonio_RI-2023.xlsx" TargetMode="External"/><Relationship Id="rId1" Type="http://schemas.openxmlformats.org/officeDocument/2006/relationships/externalLinkPath" Target="file:///\\mz-cw-fs-066\D8394_1\Compartilhado_Secoes\Sustentabilidade\Comunicacao\Relatorios\00_Relatorio_Integrado\2023\04_asseguracao\05_evidencias_ESG\01_Subidos-no-OneDrive\Patrimonio_RI-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01-1_Materiais"/>
      <sheetName val="302-1_Energia"/>
      <sheetName val="302-2_Energia-foraOrg"/>
      <sheetName val="302-1&amp;2_Memoria_Calculo"/>
      <sheetName val="302-3 e 305_dados"/>
      <sheetName val="302-3_IntensidadeEnergetica"/>
      <sheetName val="302-4_ReducaoConsumoEnergia"/>
      <sheetName val="303_Agua"/>
      <sheetName val="GEE_DADOS"/>
      <sheetName val="305-1_Escopo1"/>
      <sheetName val="305-2_Escopo2"/>
      <sheetName val="305-3_Escopo3"/>
      <sheetName val="305-3_Escopo3 (final)"/>
      <sheetName val="305-4_IntensidadeEmissoes"/>
      <sheetName val="305-5_ReducoesEmissoes"/>
      <sheetName val="306-1 e 306-2_GestaoResiduos"/>
      <sheetName val="306-3 4 e 5_Residuos"/>
      <sheetName val="Metas"/>
    </sheetNames>
    <sheetDataSet>
      <sheetData sheetId="0"/>
      <sheetData sheetId="1"/>
      <sheetData sheetId="2"/>
      <sheetData sheetId="3"/>
      <sheetData sheetId="4"/>
      <sheetData sheetId="5"/>
      <sheetData sheetId="6"/>
      <sheetData sheetId="7"/>
      <sheetData sheetId="8">
        <row r="29">
          <cell r="M29">
            <v>58109.89</v>
          </cell>
        </row>
        <row r="32">
          <cell r="M32">
            <v>167.88</v>
          </cell>
        </row>
      </sheetData>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ersonalizada 1">
      <a:majorFont>
        <a:latin typeface="Bradesco Sans"/>
        <a:ea typeface=""/>
        <a:cs typeface=""/>
      </a:majorFont>
      <a:minorFont>
        <a:latin typeface="Bradesco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4C7E-EDB4-4169-A342-5D92241F4E16}">
  <sheetPr>
    <tabColor theme="0"/>
  </sheetPr>
  <dimension ref="A1:R52"/>
  <sheetViews>
    <sheetView showGridLines="0" zoomScale="81" zoomScaleNormal="81" workbookViewId="0"/>
  </sheetViews>
  <sheetFormatPr defaultColWidth="0" defaultRowHeight="13.05" customHeight="1" zeroHeight="1"/>
  <cols>
    <col min="1" max="18" width="9.21875" customWidth="1"/>
    <col min="19" max="16384" width="9.21875" hidden="1"/>
  </cols>
  <sheetData>
    <row r="1" spans="1:18" s="271" customFormat="1" ht="13.2">
      <c r="A1"/>
      <c r="B1"/>
      <c r="C1"/>
      <c r="D1"/>
      <c r="E1"/>
      <c r="F1"/>
      <c r="G1"/>
      <c r="H1"/>
      <c r="I1"/>
      <c r="J1"/>
      <c r="K1"/>
      <c r="L1"/>
      <c r="M1"/>
      <c r="N1"/>
      <c r="O1"/>
      <c r="P1"/>
      <c r="Q1"/>
      <c r="R1"/>
    </row>
    <row r="2" spans="1:18" s="271" customFormat="1" ht="13.2">
      <c r="A2"/>
      <c r="B2"/>
      <c r="C2"/>
      <c r="D2"/>
      <c r="E2"/>
      <c r="F2"/>
      <c r="G2"/>
      <c r="H2"/>
      <c r="I2"/>
      <c r="J2"/>
      <c r="K2"/>
      <c r="L2"/>
      <c r="M2"/>
      <c r="N2"/>
      <c r="O2"/>
      <c r="P2"/>
      <c r="Q2"/>
      <c r="R2"/>
    </row>
    <row r="3" spans="1:18" s="271" customFormat="1" ht="13.2">
      <c r="A3"/>
      <c r="B3"/>
      <c r="C3"/>
      <c r="D3"/>
      <c r="E3"/>
      <c r="F3"/>
      <c r="G3"/>
      <c r="H3"/>
      <c r="I3"/>
      <c r="J3"/>
      <c r="K3"/>
      <c r="L3"/>
      <c r="M3"/>
      <c r="N3"/>
      <c r="O3"/>
      <c r="P3"/>
      <c r="Q3"/>
      <c r="R3"/>
    </row>
    <row r="4" spans="1:18" s="271" customFormat="1" ht="13.2">
      <c r="A4"/>
      <c r="B4"/>
      <c r="C4"/>
      <c r="D4"/>
      <c r="E4"/>
      <c r="F4"/>
      <c r="G4"/>
      <c r="H4"/>
      <c r="I4"/>
      <c r="J4"/>
      <c r="K4"/>
      <c r="L4"/>
      <c r="M4"/>
      <c r="N4"/>
      <c r="O4"/>
      <c r="P4"/>
      <c r="Q4"/>
      <c r="R4"/>
    </row>
    <row r="5" spans="1:18" s="271" customFormat="1" ht="13.2">
      <c r="A5"/>
      <c r="B5"/>
      <c r="C5"/>
      <c r="D5"/>
      <c r="E5"/>
      <c r="F5"/>
      <c r="G5"/>
      <c r="H5"/>
      <c r="I5"/>
      <c r="J5"/>
      <c r="K5"/>
      <c r="L5"/>
      <c r="M5"/>
      <c r="N5"/>
      <c r="O5"/>
      <c r="P5"/>
      <c r="Q5"/>
      <c r="R5"/>
    </row>
    <row r="6" spans="1:18" s="271" customFormat="1" ht="13.2">
      <c r="A6"/>
      <c r="B6"/>
      <c r="C6"/>
      <c r="D6"/>
      <c r="E6"/>
      <c r="F6"/>
      <c r="G6"/>
      <c r="H6"/>
      <c r="I6"/>
      <c r="J6"/>
      <c r="K6"/>
      <c r="L6"/>
      <c r="M6"/>
      <c r="N6"/>
      <c r="O6"/>
      <c r="P6"/>
      <c r="Q6"/>
      <c r="R6"/>
    </row>
    <row r="7" spans="1:18" ht="13.2"/>
    <row r="8" spans="1:18" ht="13.2"/>
    <row r="9" spans="1:18" ht="13.2"/>
    <row r="10" spans="1:18" ht="13.2"/>
    <row r="11" spans="1:18" ht="13.2"/>
    <row r="12" spans="1:18" ht="13.2"/>
    <row r="13" spans="1:18" ht="13.2"/>
    <row r="14" spans="1:18" ht="13.2"/>
    <row r="15" spans="1:18" ht="13.2"/>
    <row r="16" spans="1:18" ht="13.2"/>
    <row r="17" ht="13.2"/>
    <row r="18" ht="13.2"/>
    <row r="19" ht="13.2"/>
    <row r="20" ht="13.2"/>
    <row r="21" ht="13.2"/>
    <row r="22" ht="13.2"/>
    <row r="23" ht="13.2"/>
    <row r="24" ht="13.2"/>
    <row r="25" ht="13.2"/>
    <row r="26" ht="13.2"/>
    <row r="27" ht="13.2"/>
    <row r="28" ht="13.2"/>
    <row r="29" ht="13.2"/>
    <row r="30" s="278" customFormat="1" ht="13.2"/>
    <row r="31" s="278" customFormat="1" ht="13.2"/>
    <row r="32" s="278" customFormat="1" ht="13.2"/>
    <row r="33" ht="13.2"/>
    <row r="34" ht="13.2"/>
    <row r="35" ht="13.2"/>
    <row r="36" ht="13.2"/>
    <row r="37" ht="13.2"/>
    <row r="38" ht="13.2"/>
    <row r="39" ht="13.2"/>
    <row r="40" ht="13.2"/>
    <row r="41" ht="13.2"/>
    <row r="42" ht="13.2"/>
    <row r="43" ht="13.2"/>
    <row r="44" ht="9" customHeight="1"/>
    <row r="45" ht="13.2" hidden="1"/>
    <row r="46" ht="13.05" customHeight="1"/>
    <row r="47" ht="13.05" customHeight="1"/>
    <row r="48" ht="13.05" customHeight="1"/>
    <row r="49" spans="1:18" ht="13.05" customHeight="1"/>
    <row r="50" spans="1:18" ht="13.05" customHeight="1"/>
    <row r="51" spans="1:18" ht="52.5" customHeight="1">
      <c r="A51" s="453" t="s">
        <v>100</v>
      </c>
      <c r="B51" s="454"/>
      <c r="C51" s="454"/>
      <c r="D51" s="454"/>
      <c r="E51" s="454"/>
      <c r="F51" s="454"/>
      <c r="G51" s="454"/>
      <c r="H51" s="454"/>
      <c r="I51" s="454"/>
      <c r="J51" s="454"/>
      <c r="K51" s="454"/>
      <c r="L51" s="454"/>
      <c r="M51" s="454"/>
      <c r="N51" s="454"/>
      <c r="O51" s="454"/>
      <c r="P51" s="454"/>
      <c r="Q51" s="454"/>
      <c r="R51" s="454"/>
    </row>
    <row r="52" spans="1:18" ht="13.05" customHeight="1"/>
  </sheetData>
  <sheetProtection selectLockedCells="1" selectUnlockedCells="1"/>
  <mergeCells count="1">
    <mergeCell ref="A51:R51"/>
  </mergeCells>
  <printOptions horizontalCentered="1"/>
  <pageMargins left="0.23622047244094491" right="0.23622047244094491" top="0.35433070866141736" bottom="0.35433070866141736" header="0.31496062992125984" footer="0.31496062992125984"/>
  <pageSetup paperSize="9" scale="4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0000"/>
  </sheetPr>
  <dimension ref="A6:O250"/>
  <sheetViews>
    <sheetView showGridLines="0" zoomScaleNormal="100" workbookViewId="0">
      <pane ySplit="7" topLeftCell="A14" activePane="bottomLeft" state="frozen"/>
      <selection pane="bottomLeft" activeCell="D7" sqref="D7:E7"/>
    </sheetView>
  </sheetViews>
  <sheetFormatPr defaultColWidth="8" defaultRowHeight="13.2"/>
  <cols>
    <col min="1" max="1" width="2.6640625" style="16" customWidth="1"/>
    <col min="2" max="2" width="14.21875" style="18" customWidth="1"/>
    <col min="3" max="4" width="19.33203125" style="18" customWidth="1"/>
    <col min="5" max="5" width="52.33203125" style="272" customWidth="1"/>
    <col min="6" max="6" width="12.5546875" style="5" customWidth="1"/>
    <col min="7" max="9" width="11.6640625" style="5" customWidth="1"/>
    <col min="10" max="12" width="11.6640625" style="14" customWidth="1"/>
    <col min="13" max="13" width="14.5546875" style="14" customWidth="1"/>
    <col min="14" max="14" width="28.88671875" style="14" customWidth="1"/>
    <col min="15" max="15" width="2.6640625" style="260" customWidth="1"/>
    <col min="16" max="16384" width="8" style="16"/>
  </cols>
  <sheetData>
    <row r="6" spans="1:15" ht="13.8" thickBot="1">
      <c r="N6" s="17"/>
      <c r="O6" s="255"/>
    </row>
    <row r="7" spans="1:15" s="15" customFormat="1" ht="21.6" customHeight="1" thickBot="1">
      <c r="B7" s="21" t="s">
        <v>101</v>
      </c>
      <c r="C7" s="22"/>
      <c r="D7" s="448" t="s">
        <v>102</v>
      </c>
      <c r="E7" s="448" t="s">
        <v>103</v>
      </c>
      <c r="F7" s="23" t="s">
        <v>104</v>
      </c>
      <c r="G7" s="23">
        <v>2019</v>
      </c>
      <c r="H7" s="23">
        <v>2020</v>
      </c>
      <c r="I7" s="23">
        <v>2021</v>
      </c>
      <c r="J7" s="23">
        <v>2022</v>
      </c>
      <c r="K7" s="24">
        <v>2023</v>
      </c>
      <c r="L7" s="24">
        <v>2024</v>
      </c>
      <c r="M7" s="25" t="s">
        <v>105</v>
      </c>
      <c r="N7" s="324" t="s">
        <v>207</v>
      </c>
      <c r="O7" s="256"/>
    </row>
    <row r="8" spans="1:15" s="435" customFormat="1" ht="19.95" customHeight="1">
      <c r="A8" s="434"/>
      <c r="B8" s="455" t="s">
        <v>106</v>
      </c>
      <c r="C8" s="468" t="s">
        <v>111</v>
      </c>
      <c r="D8" s="468" t="s">
        <v>112</v>
      </c>
      <c r="E8" s="273" t="s">
        <v>120</v>
      </c>
      <c r="F8" s="41" t="s">
        <v>44</v>
      </c>
      <c r="G8" s="42">
        <v>765.97</v>
      </c>
      <c r="H8" s="42">
        <v>438.33</v>
      </c>
      <c r="I8" s="42">
        <v>336.45</v>
      </c>
      <c r="J8" s="42">
        <v>546.75</v>
      </c>
      <c r="K8" s="42">
        <v>535.00200000000007</v>
      </c>
      <c r="L8" s="42">
        <v>644</v>
      </c>
      <c r="M8" s="457" t="s">
        <v>26</v>
      </c>
      <c r="N8" s="488" t="s">
        <v>195</v>
      </c>
      <c r="O8" s="257"/>
    </row>
    <row r="9" spans="1:15" s="435" customFormat="1" ht="19.95" customHeight="1">
      <c r="A9" s="434"/>
      <c r="B9" s="455"/>
      <c r="C9" s="468"/>
      <c r="D9" s="469"/>
      <c r="E9" s="274" t="s">
        <v>121</v>
      </c>
      <c r="F9" s="43" t="s">
        <v>44</v>
      </c>
      <c r="G9" s="44">
        <v>973.4</v>
      </c>
      <c r="H9" s="44">
        <v>703.44</v>
      </c>
      <c r="I9" s="44">
        <v>791.17</v>
      </c>
      <c r="J9" s="44">
        <v>1692.73</v>
      </c>
      <c r="K9" s="44">
        <v>1595.1840000000002</v>
      </c>
      <c r="L9" s="44">
        <v>1591</v>
      </c>
      <c r="M9" s="457"/>
      <c r="N9" s="488"/>
      <c r="O9" s="257"/>
    </row>
    <row r="10" spans="1:15" s="435" customFormat="1" ht="19.95" customHeight="1">
      <c r="A10" s="434"/>
      <c r="B10" s="455"/>
      <c r="C10" s="468"/>
      <c r="D10" s="469"/>
      <c r="E10" s="275" t="s">
        <v>122</v>
      </c>
      <c r="F10" s="45" t="s">
        <v>44</v>
      </c>
      <c r="G10" s="46">
        <v>8594.39</v>
      </c>
      <c r="H10" s="46">
        <v>12493.09</v>
      </c>
      <c r="I10" s="46">
        <v>13069.84</v>
      </c>
      <c r="J10" s="46">
        <v>11986.58</v>
      </c>
      <c r="K10" s="46">
        <v>14409.841646000001</v>
      </c>
      <c r="L10" s="46">
        <v>17396</v>
      </c>
      <c r="M10" s="457"/>
      <c r="N10" s="488"/>
      <c r="O10" s="257"/>
    </row>
    <row r="11" spans="1:15" s="435" customFormat="1" ht="19.95" customHeight="1">
      <c r="A11" s="434"/>
      <c r="B11" s="455"/>
      <c r="C11" s="468"/>
      <c r="D11" s="469"/>
      <c r="E11" s="123" t="s">
        <v>123</v>
      </c>
      <c r="F11" s="47" t="s">
        <v>44</v>
      </c>
      <c r="G11" s="48">
        <f t="shared" ref="G11:K11" si="0">SUM(G8:G10)</f>
        <v>10333.759999999998</v>
      </c>
      <c r="H11" s="48">
        <f t="shared" si="0"/>
        <v>13634.86</v>
      </c>
      <c r="I11" s="48">
        <f t="shared" si="0"/>
        <v>14197.46</v>
      </c>
      <c r="J11" s="48">
        <f t="shared" si="0"/>
        <v>14226.06</v>
      </c>
      <c r="K11" s="48">
        <f t="shared" si="0"/>
        <v>16540.027646000002</v>
      </c>
      <c r="L11" s="48">
        <f>SUM(L8:L10)</f>
        <v>19631</v>
      </c>
      <c r="M11" s="457"/>
      <c r="N11" s="488"/>
      <c r="O11" s="257"/>
    </row>
    <row r="12" spans="1:15" s="435" customFormat="1" ht="19.95" customHeight="1">
      <c r="A12" s="434"/>
      <c r="B12" s="455"/>
      <c r="C12" s="468"/>
      <c r="D12" s="469"/>
      <c r="E12" s="285" t="s">
        <v>120</v>
      </c>
      <c r="F12" s="49" t="s">
        <v>44</v>
      </c>
      <c r="G12" s="50">
        <v>79.89</v>
      </c>
      <c r="H12" s="50">
        <v>49.93</v>
      </c>
      <c r="I12" s="50">
        <v>39.22</v>
      </c>
      <c r="J12" s="50">
        <v>56.34</v>
      </c>
      <c r="K12" s="50">
        <v>64.465999999999994</v>
      </c>
      <c r="L12" s="50">
        <v>95</v>
      </c>
      <c r="M12" s="457"/>
      <c r="N12" s="488"/>
      <c r="O12" s="257"/>
    </row>
    <row r="13" spans="1:15" s="435" customFormat="1" ht="19.95" customHeight="1">
      <c r="A13" s="434"/>
      <c r="B13" s="455"/>
      <c r="C13" s="468"/>
      <c r="D13" s="469"/>
      <c r="E13" s="284" t="s">
        <v>121</v>
      </c>
      <c r="F13" s="51" t="s">
        <v>44</v>
      </c>
      <c r="G13" s="52">
        <v>268.32</v>
      </c>
      <c r="H13" s="52">
        <v>146.88999999999999</v>
      </c>
      <c r="I13" s="52">
        <v>143.82</v>
      </c>
      <c r="J13" s="52">
        <v>194.4</v>
      </c>
      <c r="K13" s="52">
        <v>220.99799999999999</v>
      </c>
      <c r="L13" s="52">
        <v>482.13</v>
      </c>
      <c r="M13" s="457"/>
      <c r="N13" s="488"/>
      <c r="O13" s="257"/>
    </row>
    <row r="14" spans="1:15" s="435" customFormat="1" ht="19.95" customHeight="1" thickBot="1">
      <c r="A14" s="434"/>
      <c r="B14" s="455"/>
      <c r="C14" s="468"/>
      <c r="D14" s="471"/>
      <c r="E14" s="74" t="s">
        <v>124</v>
      </c>
      <c r="F14" s="53" t="s">
        <v>44</v>
      </c>
      <c r="G14" s="54">
        <f t="shared" ref="G14:L14" si="1">SUM(G12:G13)</f>
        <v>348.21</v>
      </c>
      <c r="H14" s="54">
        <f t="shared" si="1"/>
        <v>196.82</v>
      </c>
      <c r="I14" s="54">
        <f t="shared" si="1"/>
        <v>183.04</v>
      </c>
      <c r="J14" s="54">
        <f t="shared" si="1"/>
        <v>250.74</v>
      </c>
      <c r="K14" s="54">
        <f t="shared" si="1"/>
        <v>285.464</v>
      </c>
      <c r="L14" s="54">
        <f t="shared" si="1"/>
        <v>577.13</v>
      </c>
      <c r="M14" s="458"/>
      <c r="N14" s="495"/>
      <c r="O14" s="257"/>
    </row>
    <row r="15" spans="1:15" s="435" customFormat="1" ht="19.95" customHeight="1">
      <c r="A15" s="434"/>
      <c r="B15" s="455"/>
      <c r="C15" s="469"/>
      <c r="D15" s="475" t="s">
        <v>113</v>
      </c>
      <c r="E15" s="282" t="s">
        <v>125</v>
      </c>
      <c r="F15" s="56" t="s">
        <v>44</v>
      </c>
      <c r="G15" s="57">
        <v>38641.730000000003</v>
      </c>
      <c r="H15" s="57">
        <v>28031.86</v>
      </c>
      <c r="I15" s="57">
        <v>49637.32</v>
      </c>
      <c r="J15" s="57">
        <v>16222.74</v>
      </c>
      <c r="K15" s="57">
        <v>13932.75</v>
      </c>
      <c r="L15" s="57">
        <v>19354</v>
      </c>
      <c r="M15" s="459" t="s">
        <v>27</v>
      </c>
      <c r="N15" s="487" t="s">
        <v>196</v>
      </c>
      <c r="O15" s="257"/>
    </row>
    <row r="16" spans="1:15" s="435" customFormat="1" ht="19.95" customHeight="1" thickBot="1">
      <c r="A16" s="434"/>
      <c r="B16" s="455"/>
      <c r="C16" s="469"/>
      <c r="D16" s="471"/>
      <c r="E16" s="286" t="s">
        <v>126</v>
      </c>
      <c r="F16" s="59" t="s">
        <v>44</v>
      </c>
      <c r="G16" s="60">
        <v>38346.97</v>
      </c>
      <c r="H16" s="60">
        <v>141.80000000000001</v>
      </c>
      <c r="I16" s="60">
        <v>23.3</v>
      </c>
      <c r="J16" s="60">
        <v>0</v>
      </c>
      <c r="K16" s="60">
        <v>0</v>
      </c>
      <c r="L16" s="60">
        <v>0</v>
      </c>
      <c r="M16" s="458"/>
      <c r="N16" s="495"/>
      <c r="O16" s="257"/>
    </row>
    <row r="17" spans="1:15" s="435" customFormat="1" ht="19.95" customHeight="1">
      <c r="A17" s="434"/>
      <c r="B17" s="455"/>
      <c r="C17" s="469"/>
      <c r="D17" s="475" t="s">
        <v>114</v>
      </c>
      <c r="E17" s="282" t="s">
        <v>127</v>
      </c>
      <c r="F17" s="56" t="s">
        <v>44</v>
      </c>
      <c r="G17" s="57">
        <v>63088.79</v>
      </c>
      <c r="H17" s="57">
        <v>60385.24</v>
      </c>
      <c r="I17" s="57">
        <v>53410.2</v>
      </c>
      <c r="J17" s="57">
        <v>86119.26</v>
      </c>
      <c r="K17" s="57">
        <v>48022.07</v>
      </c>
      <c r="L17" s="57">
        <v>45873</v>
      </c>
      <c r="M17" s="459" t="s">
        <v>28</v>
      </c>
      <c r="N17" s="487" t="s">
        <v>195</v>
      </c>
      <c r="O17" s="257"/>
    </row>
    <row r="18" spans="1:15" s="435" customFormat="1" ht="19.95" customHeight="1">
      <c r="A18" s="434"/>
      <c r="B18" s="455"/>
      <c r="C18" s="469"/>
      <c r="D18" s="469"/>
      <c r="E18" s="283" t="s">
        <v>128</v>
      </c>
      <c r="F18" s="43" t="s">
        <v>44</v>
      </c>
      <c r="G18" s="62">
        <v>5234.0200000000004</v>
      </c>
      <c r="H18" s="62">
        <v>4126.51</v>
      </c>
      <c r="I18" s="62">
        <v>3721.83</v>
      </c>
      <c r="J18" s="62">
        <v>4923.38</v>
      </c>
      <c r="K18" s="62">
        <v>4532.26</v>
      </c>
      <c r="L18" s="62">
        <v>4279</v>
      </c>
      <c r="M18" s="457"/>
      <c r="N18" s="488"/>
      <c r="O18" s="257"/>
    </row>
    <row r="19" spans="1:15" s="435" customFormat="1" ht="19.95" customHeight="1">
      <c r="A19" s="434"/>
      <c r="B19" s="455"/>
      <c r="C19" s="469"/>
      <c r="D19" s="469"/>
      <c r="E19" s="283" t="s">
        <v>129</v>
      </c>
      <c r="F19" s="43" t="s">
        <v>44</v>
      </c>
      <c r="G19" s="62">
        <v>21330.55</v>
      </c>
      <c r="H19" s="62">
        <v>5218.79</v>
      </c>
      <c r="I19" s="62">
        <v>2620.0300000000002</v>
      </c>
      <c r="J19" s="62">
        <v>6097.5</v>
      </c>
      <c r="K19" s="62">
        <v>11953.01</v>
      </c>
      <c r="L19" s="62">
        <v>14115</v>
      </c>
      <c r="M19" s="457"/>
      <c r="N19" s="488"/>
      <c r="O19" s="257"/>
    </row>
    <row r="20" spans="1:15" s="435" customFormat="1" ht="19.95" customHeight="1">
      <c r="A20" s="434"/>
      <c r="B20" s="455"/>
      <c r="C20" s="469"/>
      <c r="D20" s="469"/>
      <c r="E20" s="284" t="s">
        <v>130</v>
      </c>
      <c r="F20" s="45" t="s">
        <v>44</v>
      </c>
      <c r="G20" s="52">
        <v>99504.6</v>
      </c>
      <c r="H20" s="52">
        <v>59412.19</v>
      </c>
      <c r="I20" s="52">
        <v>42515</v>
      </c>
      <c r="J20" s="52">
        <v>53918</v>
      </c>
      <c r="K20" s="52">
        <f>[1]GEE_DADOS!$M$29+[1]GEE_DADOS!$M$32</f>
        <v>58277.77</v>
      </c>
      <c r="L20" s="52">
        <v>55110</v>
      </c>
      <c r="M20" s="457"/>
      <c r="N20" s="488"/>
      <c r="O20" s="257"/>
    </row>
    <row r="21" spans="1:15" s="435" customFormat="1" ht="19.95" customHeight="1">
      <c r="A21" s="434"/>
      <c r="B21" s="455"/>
      <c r="C21" s="469"/>
      <c r="D21" s="469"/>
      <c r="E21" s="123" t="s">
        <v>123</v>
      </c>
      <c r="F21" s="47" t="s">
        <v>44</v>
      </c>
      <c r="G21" s="48">
        <f t="shared" ref="G21:L21" si="2">SUM(G17:G20)</f>
        <v>189157.96000000002</v>
      </c>
      <c r="H21" s="48">
        <f t="shared" si="2"/>
        <v>129142.73</v>
      </c>
      <c r="I21" s="48">
        <f t="shared" si="2"/>
        <v>102267.06</v>
      </c>
      <c r="J21" s="48">
        <f t="shared" si="2"/>
        <v>151058.14000000001</v>
      </c>
      <c r="K21" s="48">
        <f t="shared" si="2"/>
        <v>122785.11</v>
      </c>
      <c r="L21" s="48">
        <f t="shared" si="2"/>
        <v>119377</v>
      </c>
      <c r="M21" s="457"/>
      <c r="N21" s="488"/>
      <c r="O21" s="257"/>
    </row>
    <row r="22" spans="1:15" s="435" customFormat="1" ht="19.95" customHeight="1">
      <c r="A22" s="434"/>
      <c r="B22" s="455"/>
      <c r="C22" s="469"/>
      <c r="D22" s="469"/>
      <c r="E22" s="285" t="s">
        <v>131</v>
      </c>
      <c r="F22" s="49" t="s">
        <v>44</v>
      </c>
      <c r="G22" s="50">
        <v>7988.93</v>
      </c>
      <c r="H22" s="50">
        <v>8672.4599999999991</v>
      </c>
      <c r="I22" s="50">
        <v>8163.97</v>
      </c>
      <c r="J22" s="50">
        <v>10410.08</v>
      </c>
      <c r="K22" s="50">
        <v>8561.3574767955924</v>
      </c>
      <c r="L22" s="50">
        <v>8360.42</v>
      </c>
      <c r="M22" s="457"/>
      <c r="N22" s="488"/>
      <c r="O22" s="257"/>
    </row>
    <row r="23" spans="1:15" s="435" customFormat="1" ht="19.95" customHeight="1">
      <c r="A23" s="434"/>
      <c r="B23" s="455"/>
      <c r="C23" s="469"/>
      <c r="D23" s="469"/>
      <c r="E23" s="283" t="s">
        <v>128</v>
      </c>
      <c r="F23" s="64" t="s">
        <v>44</v>
      </c>
      <c r="G23" s="62" t="s">
        <v>54</v>
      </c>
      <c r="H23" s="62" t="s">
        <v>54</v>
      </c>
      <c r="I23" s="62" t="s">
        <v>54</v>
      </c>
      <c r="J23" s="62">
        <v>579.58000000000004</v>
      </c>
      <c r="K23" s="62">
        <v>45.641985274827917</v>
      </c>
      <c r="L23" s="62">
        <v>43.09</v>
      </c>
      <c r="M23" s="457"/>
      <c r="N23" s="488"/>
      <c r="O23" s="257"/>
    </row>
    <row r="24" spans="1:15" s="435" customFormat="1" ht="19.95" customHeight="1">
      <c r="A24" s="434"/>
      <c r="B24" s="455"/>
      <c r="C24" s="469"/>
      <c r="D24" s="469"/>
      <c r="E24" s="283" t="s">
        <v>129</v>
      </c>
      <c r="F24" s="64" t="s">
        <v>44</v>
      </c>
      <c r="G24" s="62">
        <v>3065.69</v>
      </c>
      <c r="H24" s="62">
        <v>1132.22</v>
      </c>
      <c r="I24" s="62">
        <v>1424.27</v>
      </c>
      <c r="J24" s="62">
        <v>1883.75</v>
      </c>
      <c r="K24" s="62">
        <v>2693.3240000000001</v>
      </c>
      <c r="L24" s="62">
        <v>3676.81</v>
      </c>
      <c r="M24" s="457"/>
      <c r="N24" s="488"/>
      <c r="O24" s="257"/>
    </row>
    <row r="25" spans="1:15" s="435" customFormat="1" ht="19.95" customHeight="1">
      <c r="A25" s="434"/>
      <c r="B25" s="455"/>
      <c r="C25" s="469"/>
      <c r="D25" s="469"/>
      <c r="E25" s="284" t="s">
        <v>130</v>
      </c>
      <c r="F25" s="51" t="s">
        <v>44</v>
      </c>
      <c r="G25" s="52">
        <v>22623.14</v>
      </c>
      <c r="H25" s="52">
        <v>13692.12</v>
      </c>
      <c r="I25" s="52">
        <v>6751.38</v>
      </c>
      <c r="J25" s="52">
        <v>11106.05</v>
      </c>
      <c r="K25" s="52">
        <v>12525.625177530454</v>
      </c>
      <c r="L25" s="52">
        <v>12299.33</v>
      </c>
      <c r="M25" s="457"/>
      <c r="N25" s="488"/>
      <c r="O25" s="257"/>
    </row>
    <row r="26" spans="1:15" s="435" customFormat="1" ht="19.95" customHeight="1" thickBot="1">
      <c r="A26" s="434"/>
      <c r="B26" s="455"/>
      <c r="C26" s="469"/>
      <c r="D26" s="471"/>
      <c r="E26" s="74" t="s">
        <v>124</v>
      </c>
      <c r="F26" s="53" t="s">
        <v>44</v>
      </c>
      <c r="G26" s="54">
        <f t="shared" ref="G26:L26" si="3">SUM(G22:G25)</f>
        <v>33677.760000000002</v>
      </c>
      <c r="H26" s="54">
        <f t="shared" si="3"/>
        <v>23496.799999999999</v>
      </c>
      <c r="I26" s="54">
        <f t="shared" si="3"/>
        <v>16339.619999999999</v>
      </c>
      <c r="J26" s="54">
        <f t="shared" si="3"/>
        <v>23979.46</v>
      </c>
      <c r="K26" s="54">
        <f t="shared" si="3"/>
        <v>23825.948639600872</v>
      </c>
      <c r="L26" s="54">
        <f t="shared" si="3"/>
        <v>24379.65</v>
      </c>
      <c r="M26" s="458"/>
      <c r="N26" s="495"/>
      <c r="O26" s="257"/>
    </row>
    <row r="27" spans="1:15" s="435" customFormat="1" ht="19.95" customHeight="1">
      <c r="A27" s="434"/>
      <c r="B27" s="455"/>
      <c r="C27" s="469"/>
      <c r="D27" s="475" t="s">
        <v>115</v>
      </c>
      <c r="E27" s="282" t="s">
        <v>116</v>
      </c>
      <c r="F27" s="65" t="s">
        <v>71</v>
      </c>
      <c r="G27" s="250">
        <v>0.97</v>
      </c>
      <c r="H27" s="250">
        <v>0.69</v>
      </c>
      <c r="I27" s="250">
        <v>0.49</v>
      </c>
      <c r="J27" s="251">
        <v>0.51</v>
      </c>
      <c r="K27" s="251">
        <v>0.4</v>
      </c>
      <c r="L27" s="251">
        <v>0.38386146274604088</v>
      </c>
      <c r="M27" s="459" t="s">
        <v>35</v>
      </c>
      <c r="N27" s="487" t="s">
        <v>197</v>
      </c>
      <c r="O27" s="257"/>
    </row>
    <row r="28" spans="1:15" s="435" customFormat="1" ht="19.95" customHeight="1">
      <c r="A28" s="434"/>
      <c r="B28" s="455"/>
      <c r="C28" s="469"/>
      <c r="D28" s="469"/>
      <c r="E28" s="283" t="s">
        <v>117</v>
      </c>
      <c r="F28" s="43" t="s">
        <v>71</v>
      </c>
      <c r="G28" s="252">
        <v>10.55</v>
      </c>
      <c r="H28" s="252">
        <v>8.64</v>
      </c>
      <c r="I28" s="252">
        <v>5.31</v>
      </c>
      <c r="J28" s="253">
        <v>7.97</v>
      </c>
      <c r="K28" s="253">
        <v>9.2100000000000009</v>
      </c>
      <c r="L28" s="253">
        <v>7.2782233050403446</v>
      </c>
      <c r="M28" s="457"/>
      <c r="N28" s="488"/>
      <c r="O28" s="257"/>
    </row>
    <row r="29" spans="1:15" s="435" customFormat="1" ht="19.95" customHeight="1">
      <c r="A29" s="434"/>
      <c r="B29" s="455"/>
      <c r="C29" s="469"/>
      <c r="D29" s="469"/>
      <c r="E29" s="283" t="s">
        <v>118</v>
      </c>
      <c r="F29" s="43" t="s">
        <v>193</v>
      </c>
      <c r="G29" s="252">
        <v>2.4500000000000002</v>
      </c>
      <c r="H29" s="252">
        <v>1.6</v>
      </c>
      <c r="I29" s="252">
        <v>1.33</v>
      </c>
      <c r="J29" s="252">
        <v>1.87</v>
      </c>
      <c r="K29" s="252">
        <v>1.62</v>
      </c>
      <c r="L29" s="252">
        <v>1.6532833067529935</v>
      </c>
      <c r="M29" s="457"/>
      <c r="N29" s="488"/>
      <c r="O29" s="257"/>
    </row>
    <row r="30" spans="1:15" s="435" customFormat="1" ht="19.95" customHeight="1" thickBot="1">
      <c r="A30" s="434"/>
      <c r="B30" s="455"/>
      <c r="C30" s="469"/>
      <c r="D30" s="471"/>
      <c r="E30" s="286" t="s">
        <v>119</v>
      </c>
      <c r="F30" s="59" t="s">
        <v>72</v>
      </c>
      <c r="G30" s="254">
        <v>2.6</v>
      </c>
      <c r="H30" s="254">
        <v>1.69</v>
      </c>
      <c r="I30" s="254">
        <v>1.4</v>
      </c>
      <c r="J30" s="254">
        <v>1.94</v>
      </c>
      <c r="K30" s="254">
        <v>1.68</v>
      </c>
      <c r="L30" s="254">
        <v>1.7087628853297907</v>
      </c>
      <c r="M30" s="458"/>
      <c r="N30" s="495"/>
      <c r="O30" s="257"/>
    </row>
    <row r="31" spans="1:15" s="435" customFormat="1" ht="30" customHeight="1">
      <c r="A31" s="434"/>
      <c r="B31" s="455"/>
      <c r="C31" s="470"/>
      <c r="D31" s="476" t="s">
        <v>132</v>
      </c>
      <c r="E31" s="282" t="s">
        <v>133</v>
      </c>
      <c r="F31" s="56" t="s">
        <v>44</v>
      </c>
      <c r="G31" s="71">
        <v>3106.13</v>
      </c>
      <c r="H31" s="71">
        <v>597.6</v>
      </c>
      <c r="I31" s="71">
        <v>101.88</v>
      </c>
      <c r="J31" s="71">
        <v>1083.26</v>
      </c>
      <c r="K31" s="71">
        <v>98</v>
      </c>
      <c r="L31" s="71">
        <v>122</v>
      </c>
      <c r="M31" s="459" t="s">
        <v>29</v>
      </c>
      <c r="N31" s="499" t="s">
        <v>198</v>
      </c>
      <c r="O31" s="258"/>
    </row>
    <row r="32" spans="1:15" s="435" customFormat="1" ht="30" customHeight="1">
      <c r="A32" s="434"/>
      <c r="B32" s="455"/>
      <c r="C32" s="470"/>
      <c r="D32" s="473"/>
      <c r="E32" s="283" t="s">
        <v>113</v>
      </c>
      <c r="F32" s="43" t="s">
        <v>44</v>
      </c>
      <c r="G32" s="72">
        <v>294.76</v>
      </c>
      <c r="H32" s="72">
        <v>38205</v>
      </c>
      <c r="I32" s="72">
        <v>119</v>
      </c>
      <c r="J32" s="72">
        <v>16222.74</v>
      </c>
      <c r="K32" s="72">
        <v>0</v>
      </c>
      <c r="L32" s="72">
        <v>0</v>
      </c>
      <c r="M32" s="457"/>
      <c r="N32" s="488"/>
      <c r="O32" s="257"/>
    </row>
    <row r="33" spans="1:15" s="435" customFormat="1" ht="30" customHeight="1">
      <c r="A33" s="434"/>
      <c r="B33" s="455"/>
      <c r="C33" s="470"/>
      <c r="D33" s="473"/>
      <c r="E33" s="284" t="s">
        <v>114</v>
      </c>
      <c r="F33" s="45" t="s">
        <v>44</v>
      </c>
      <c r="G33" s="73">
        <v>1577.07</v>
      </c>
      <c r="H33" s="73">
        <v>60015</v>
      </c>
      <c r="I33" s="73">
        <v>26876</v>
      </c>
      <c r="J33" s="73">
        <v>6012.7</v>
      </c>
      <c r="K33" s="73">
        <v>39205</v>
      </c>
      <c r="L33" s="73">
        <v>71227</v>
      </c>
      <c r="M33" s="457"/>
      <c r="N33" s="488"/>
      <c r="O33" s="257"/>
    </row>
    <row r="34" spans="1:15" s="435" customFormat="1" ht="30" customHeight="1" thickBot="1">
      <c r="A34" s="434"/>
      <c r="B34" s="455"/>
      <c r="C34" s="471"/>
      <c r="D34" s="477"/>
      <c r="E34" s="74" t="s">
        <v>134</v>
      </c>
      <c r="F34" s="75" t="s">
        <v>44</v>
      </c>
      <c r="G34" s="76">
        <f t="shared" ref="G34:L34" si="4">SUM(G31:G33)</f>
        <v>4977.96</v>
      </c>
      <c r="H34" s="76">
        <f t="shared" si="4"/>
        <v>98817.600000000006</v>
      </c>
      <c r="I34" s="76">
        <f t="shared" si="4"/>
        <v>27096.880000000001</v>
      </c>
      <c r="J34" s="76">
        <f t="shared" si="4"/>
        <v>23318.7</v>
      </c>
      <c r="K34" s="76">
        <f t="shared" si="4"/>
        <v>39303</v>
      </c>
      <c r="L34" s="76">
        <f t="shared" si="4"/>
        <v>71349</v>
      </c>
      <c r="M34" s="458"/>
      <c r="N34" s="495"/>
      <c r="O34" s="257"/>
    </row>
    <row r="35" spans="1:15" s="435" customFormat="1" ht="25.05" customHeight="1">
      <c r="A35" s="434"/>
      <c r="B35" s="455"/>
      <c r="C35" s="485" t="s">
        <v>135</v>
      </c>
      <c r="D35" s="483" t="s">
        <v>136</v>
      </c>
      <c r="E35" s="282" t="s">
        <v>137</v>
      </c>
      <c r="F35" s="56" t="s">
        <v>0</v>
      </c>
      <c r="G35" s="71">
        <v>181000</v>
      </c>
      <c r="H35" s="71">
        <v>176382</v>
      </c>
      <c r="I35" s="71">
        <v>166632</v>
      </c>
      <c r="J35" s="77">
        <v>156073</v>
      </c>
      <c r="K35" s="77">
        <v>133266</v>
      </c>
      <c r="L35" s="77">
        <v>142703</v>
      </c>
      <c r="M35" s="459" t="s">
        <v>30</v>
      </c>
      <c r="N35" s="487" t="s">
        <v>199</v>
      </c>
      <c r="O35" s="257"/>
    </row>
    <row r="36" spans="1:15" s="435" customFormat="1" ht="25.05" customHeight="1">
      <c r="A36" s="434"/>
      <c r="B36" s="455"/>
      <c r="C36" s="481"/>
      <c r="D36" s="484"/>
      <c r="E36" s="283" t="s">
        <v>138</v>
      </c>
      <c r="F36" s="43" t="s">
        <v>0</v>
      </c>
      <c r="G36" s="72">
        <v>1052</v>
      </c>
      <c r="H36" s="72">
        <v>599</v>
      </c>
      <c r="I36" s="62">
        <v>0</v>
      </c>
      <c r="J36" s="78">
        <v>6300</v>
      </c>
      <c r="K36" s="78">
        <v>0</v>
      </c>
      <c r="L36" s="78">
        <v>0</v>
      </c>
      <c r="M36" s="457"/>
      <c r="N36" s="488"/>
      <c r="O36" s="257"/>
    </row>
    <row r="37" spans="1:15" s="435" customFormat="1" ht="25.05" customHeight="1">
      <c r="A37" s="434"/>
      <c r="B37" s="455"/>
      <c r="C37" s="481"/>
      <c r="D37" s="484"/>
      <c r="E37" s="292" t="s">
        <v>139</v>
      </c>
      <c r="F37" s="79" t="s">
        <v>0</v>
      </c>
      <c r="G37" s="80">
        <v>1303782</v>
      </c>
      <c r="H37" s="80">
        <v>1054566</v>
      </c>
      <c r="I37" s="80">
        <v>933409</v>
      </c>
      <c r="J37" s="242">
        <v>907516</v>
      </c>
      <c r="K37" s="242">
        <v>957399</v>
      </c>
      <c r="L37" s="242">
        <v>873157</v>
      </c>
      <c r="M37" s="457"/>
      <c r="N37" s="488"/>
      <c r="O37" s="257"/>
    </row>
    <row r="38" spans="1:15" s="435" customFormat="1" ht="25.05" customHeight="1">
      <c r="A38" s="434"/>
      <c r="B38" s="455"/>
      <c r="C38" s="481"/>
      <c r="D38" s="484"/>
      <c r="E38" s="123" t="s">
        <v>140</v>
      </c>
      <c r="F38" s="47" t="s">
        <v>0</v>
      </c>
      <c r="G38" s="81">
        <f t="shared" ref="G38:L38" si="5">SUM(G35:G37)</f>
        <v>1485834</v>
      </c>
      <c r="H38" s="81">
        <f t="shared" si="5"/>
        <v>1231547</v>
      </c>
      <c r="I38" s="81">
        <f t="shared" si="5"/>
        <v>1100041</v>
      </c>
      <c r="J38" s="81">
        <f t="shared" si="5"/>
        <v>1069889</v>
      </c>
      <c r="K38" s="81">
        <f t="shared" si="5"/>
        <v>1090665</v>
      </c>
      <c r="L38" s="81">
        <f t="shared" si="5"/>
        <v>1015860</v>
      </c>
      <c r="M38" s="457"/>
      <c r="N38" s="488"/>
      <c r="O38" s="257"/>
    </row>
    <row r="39" spans="1:15" s="435" customFormat="1" ht="25.05" customHeight="1">
      <c r="A39" s="434"/>
      <c r="B39" s="455"/>
      <c r="C39" s="481"/>
      <c r="D39" s="484"/>
      <c r="E39" s="126" t="s">
        <v>141</v>
      </c>
      <c r="F39" s="82" t="s">
        <v>0</v>
      </c>
      <c r="G39" s="83">
        <v>72166</v>
      </c>
      <c r="H39" s="83">
        <v>69804</v>
      </c>
      <c r="I39" s="83">
        <v>66000</v>
      </c>
      <c r="J39" s="83">
        <v>62685</v>
      </c>
      <c r="K39" s="83">
        <v>66000</v>
      </c>
      <c r="L39" s="83">
        <v>36911</v>
      </c>
      <c r="M39" s="457"/>
      <c r="N39" s="488"/>
      <c r="O39" s="257"/>
    </row>
    <row r="40" spans="1:15" s="435" customFormat="1" ht="25.05" customHeight="1" thickBot="1">
      <c r="A40" s="434"/>
      <c r="B40" s="455"/>
      <c r="C40" s="481"/>
      <c r="D40" s="484"/>
      <c r="E40" s="276" t="s">
        <v>142</v>
      </c>
      <c r="F40" s="102" t="s">
        <v>0</v>
      </c>
      <c r="G40" s="103">
        <f t="shared" ref="G40:L40" si="6">G38+G39</f>
        <v>1558000</v>
      </c>
      <c r="H40" s="103">
        <f t="shared" si="6"/>
        <v>1301351</v>
      </c>
      <c r="I40" s="103">
        <f t="shared" si="6"/>
        <v>1166041</v>
      </c>
      <c r="J40" s="103">
        <f t="shared" si="6"/>
        <v>1132574</v>
      </c>
      <c r="K40" s="103">
        <f t="shared" si="6"/>
        <v>1156665</v>
      </c>
      <c r="L40" s="103">
        <f t="shared" si="6"/>
        <v>1052771</v>
      </c>
      <c r="M40" s="457"/>
      <c r="N40" s="488"/>
      <c r="O40" s="257"/>
    </row>
    <row r="41" spans="1:15" s="435" customFormat="1" ht="30" customHeight="1" thickBot="1">
      <c r="A41" s="434"/>
      <c r="B41" s="455"/>
      <c r="C41" s="481"/>
      <c r="D41" s="163" t="s">
        <v>143</v>
      </c>
      <c r="E41" s="119" t="s">
        <v>143</v>
      </c>
      <c r="F41" s="85" t="s">
        <v>1</v>
      </c>
      <c r="G41" s="86"/>
      <c r="H41" s="87">
        <f>(H38-$G$38)/$G$38*100</f>
        <v>-17.114092152959213</v>
      </c>
      <c r="I41" s="87">
        <f>(I38-$G$38)/$G$38*100</f>
        <v>-25.96474437925098</v>
      </c>
      <c r="J41" s="87">
        <v>-27.99404240312175</v>
      </c>
      <c r="K41" s="87">
        <f>(K38-$G$38)/$G$38*100</f>
        <v>-26.595770456188241</v>
      </c>
      <c r="L41" s="87">
        <f>(L38-$G$38)/$G$38*100</f>
        <v>-31.630316711018864</v>
      </c>
      <c r="M41" s="88" t="s">
        <v>31</v>
      </c>
      <c r="N41" s="322" t="s">
        <v>200</v>
      </c>
      <c r="O41" s="257"/>
    </row>
    <row r="42" spans="1:15" s="435" customFormat="1" ht="30" customHeight="1" thickBot="1">
      <c r="A42" s="434"/>
      <c r="B42" s="455"/>
      <c r="C42" s="486"/>
      <c r="D42" s="297" t="s">
        <v>144</v>
      </c>
      <c r="E42" s="318" t="s">
        <v>145</v>
      </c>
      <c r="F42" s="75" t="s">
        <v>0</v>
      </c>
      <c r="G42" s="76">
        <f t="shared" ref="G42:L42" si="7">G38-G39</f>
        <v>1413668</v>
      </c>
      <c r="H42" s="76">
        <f t="shared" si="7"/>
        <v>1161743</v>
      </c>
      <c r="I42" s="76">
        <f t="shared" si="7"/>
        <v>1034041</v>
      </c>
      <c r="J42" s="76">
        <f t="shared" si="7"/>
        <v>1007204</v>
      </c>
      <c r="K42" s="76">
        <f t="shared" si="7"/>
        <v>1024665</v>
      </c>
      <c r="L42" s="76">
        <f t="shared" si="7"/>
        <v>978949</v>
      </c>
      <c r="M42" s="279"/>
      <c r="N42" s="323" t="s">
        <v>201</v>
      </c>
      <c r="O42" s="257"/>
    </row>
    <row r="43" spans="1:15" s="435" customFormat="1" ht="19.95" customHeight="1">
      <c r="A43" s="434"/>
      <c r="B43" s="455"/>
      <c r="C43" s="480" t="s">
        <v>146</v>
      </c>
      <c r="D43" s="479" t="s">
        <v>147</v>
      </c>
      <c r="E43" s="285" t="s">
        <v>148</v>
      </c>
      <c r="F43" s="41" t="s">
        <v>2</v>
      </c>
      <c r="G43" s="305">
        <f>SUM(G44:G46)</f>
        <v>1523555.5200000003</v>
      </c>
      <c r="H43" s="91">
        <v>0</v>
      </c>
      <c r="I43" s="91">
        <v>0</v>
      </c>
      <c r="J43" s="91">
        <v>0</v>
      </c>
      <c r="K43" s="91">
        <v>0</v>
      </c>
      <c r="L43" s="91">
        <v>0</v>
      </c>
      <c r="M43" s="464" t="s">
        <v>32</v>
      </c>
      <c r="N43" s="494" t="s">
        <v>202</v>
      </c>
      <c r="O43" s="257"/>
    </row>
    <row r="44" spans="1:15" s="435" customFormat="1" ht="19.95" customHeight="1">
      <c r="A44" s="434"/>
      <c r="B44" s="455"/>
      <c r="C44" s="481"/>
      <c r="D44" s="469"/>
      <c r="E44" s="319" t="s">
        <v>149</v>
      </c>
      <c r="F44" s="92" t="s">
        <v>2</v>
      </c>
      <c r="G44" s="93">
        <v>175292.79999999999</v>
      </c>
      <c r="H44" s="91">
        <v>0</v>
      </c>
      <c r="I44" s="91">
        <v>0</v>
      </c>
      <c r="J44" s="91">
        <v>0</v>
      </c>
      <c r="K44" s="91">
        <v>0</v>
      </c>
      <c r="L44" s="91">
        <v>0</v>
      </c>
      <c r="M44" s="457"/>
      <c r="N44" s="488"/>
      <c r="O44" s="257"/>
    </row>
    <row r="45" spans="1:15" s="435" customFormat="1" ht="19.95" customHeight="1">
      <c r="A45" s="434"/>
      <c r="B45" s="455"/>
      <c r="C45" s="481"/>
      <c r="D45" s="469"/>
      <c r="E45" s="319" t="s">
        <v>150</v>
      </c>
      <c r="F45" s="92" t="s">
        <v>2</v>
      </c>
      <c r="G45" s="93">
        <v>1331479.3700000001</v>
      </c>
      <c r="H45" s="91">
        <v>0</v>
      </c>
      <c r="I45" s="91">
        <v>0</v>
      </c>
      <c r="J45" s="91">
        <v>0</v>
      </c>
      <c r="K45" s="91">
        <v>0</v>
      </c>
      <c r="L45" s="91">
        <v>0</v>
      </c>
      <c r="M45" s="457"/>
      <c r="N45" s="488"/>
      <c r="O45" s="257"/>
    </row>
    <row r="46" spans="1:15" s="435" customFormat="1" ht="19.95" customHeight="1">
      <c r="A46" s="434"/>
      <c r="B46" s="455"/>
      <c r="C46" s="481"/>
      <c r="D46" s="469"/>
      <c r="E46" s="319" t="s">
        <v>39</v>
      </c>
      <c r="F46" s="92" t="s">
        <v>2</v>
      </c>
      <c r="G46" s="93">
        <v>16783.349999999999</v>
      </c>
      <c r="H46" s="91">
        <v>0</v>
      </c>
      <c r="I46" s="91">
        <v>0</v>
      </c>
      <c r="J46" s="91">
        <v>0</v>
      </c>
      <c r="K46" s="91">
        <v>0</v>
      </c>
      <c r="L46" s="91">
        <v>0</v>
      </c>
      <c r="M46" s="457"/>
      <c r="N46" s="488"/>
      <c r="O46" s="257"/>
    </row>
    <row r="47" spans="1:15" s="435" customFormat="1" ht="19.95" customHeight="1">
      <c r="A47" s="434"/>
      <c r="B47" s="455"/>
      <c r="C47" s="481"/>
      <c r="D47" s="469"/>
      <c r="E47" s="283" t="s">
        <v>151</v>
      </c>
      <c r="F47" s="43" t="s">
        <v>2</v>
      </c>
      <c r="G47" s="72">
        <v>34.56</v>
      </c>
      <c r="H47" s="72">
        <v>17285.669999999998</v>
      </c>
      <c r="I47" s="72">
        <v>21406.01</v>
      </c>
      <c r="J47" s="62">
        <v>20356.5</v>
      </c>
      <c r="K47" s="62">
        <v>30683.83</v>
      </c>
      <c r="L47" s="62">
        <v>23577.9156</v>
      </c>
      <c r="M47" s="457"/>
      <c r="N47" s="488"/>
      <c r="O47" s="257"/>
    </row>
    <row r="48" spans="1:15" s="435" customFormat="1" ht="19.95" customHeight="1">
      <c r="A48" s="434"/>
      <c r="B48" s="455"/>
      <c r="C48" s="481"/>
      <c r="D48" s="469"/>
      <c r="E48" s="283" t="s">
        <v>152</v>
      </c>
      <c r="F48" s="43" t="s">
        <v>2</v>
      </c>
      <c r="G48" s="72">
        <v>11145.63</v>
      </c>
      <c r="H48" s="72">
        <v>74316.639999999999</v>
      </c>
      <c r="I48" s="62">
        <v>0</v>
      </c>
      <c r="J48" s="62">
        <v>0</v>
      </c>
      <c r="K48" s="62">
        <v>472658.4</v>
      </c>
      <c r="L48" s="62">
        <v>700531.15319999994</v>
      </c>
      <c r="M48" s="457"/>
      <c r="N48" s="488"/>
      <c r="O48" s="257"/>
    </row>
    <row r="49" spans="1:15" s="435" customFormat="1" ht="19.95" customHeight="1">
      <c r="A49" s="434"/>
      <c r="B49" s="455"/>
      <c r="C49" s="481"/>
      <c r="D49" s="469"/>
      <c r="E49" s="284" t="s">
        <v>40</v>
      </c>
      <c r="F49" s="45" t="s">
        <v>2</v>
      </c>
      <c r="G49" s="52">
        <v>0</v>
      </c>
      <c r="H49" s="73">
        <v>1498740.22</v>
      </c>
      <c r="I49" s="73">
        <v>1391466.52</v>
      </c>
      <c r="J49" s="52">
        <v>1342960.98</v>
      </c>
      <c r="K49" s="52">
        <v>811319.6</v>
      </c>
      <c r="L49" s="52">
        <v>573861.03391004191</v>
      </c>
      <c r="M49" s="457"/>
      <c r="N49" s="488"/>
      <c r="O49" s="257"/>
    </row>
    <row r="50" spans="1:15" s="435" customFormat="1" ht="19.95" customHeight="1">
      <c r="A50" s="434"/>
      <c r="B50" s="455"/>
      <c r="C50" s="481"/>
      <c r="D50" s="469"/>
      <c r="E50" s="123" t="s">
        <v>153</v>
      </c>
      <c r="F50" s="47" t="s">
        <v>2</v>
      </c>
      <c r="G50" s="81">
        <f>SUM(G43,G47,G48,G49)</f>
        <v>1534735.7100000002</v>
      </c>
      <c r="H50" s="81">
        <f>SUM(H43,H47,H48,H49)</f>
        <v>1590342.53</v>
      </c>
      <c r="I50" s="81">
        <f>SUM(I43,I47,I48,I49)</f>
        <v>1412872.53</v>
      </c>
      <c r="J50" s="81">
        <v>1363318</v>
      </c>
      <c r="K50" s="81">
        <f>SUM(K43,K47,K48,K49)</f>
        <v>1314661.83</v>
      </c>
      <c r="L50" s="81">
        <f>SUM(L43,L47,L48,L49)</f>
        <v>1297970.1027100417</v>
      </c>
      <c r="M50" s="457"/>
      <c r="N50" s="488"/>
      <c r="O50" s="257"/>
    </row>
    <row r="51" spans="1:15" s="435" customFormat="1" ht="19.95" customHeight="1">
      <c r="A51" s="434"/>
      <c r="B51" s="455"/>
      <c r="C51" s="481"/>
      <c r="D51" s="469"/>
      <c r="E51" s="285" t="s">
        <v>148</v>
      </c>
      <c r="F51" s="41" t="s">
        <v>2</v>
      </c>
      <c r="G51" s="305">
        <f>SUM(G52:G53)</f>
        <v>341261.52</v>
      </c>
      <c r="H51" s="91">
        <v>0</v>
      </c>
      <c r="I51" s="91">
        <v>0</v>
      </c>
      <c r="J51" s="91">
        <v>0</v>
      </c>
      <c r="K51" s="91">
        <v>0</v>
      </c>
      <c r="L51" s="91">
        <v>0</v>
      </c>
      <c r="M51" s="457"/>
      <c r="N51" s="488"/>
      <c r="O51" s="257"/>
    </row>
    <row r="52" spans="1:15" s="435" customFormat="1" ht="19.95" customHeight="1">
      <c r="A52" s="434"/>
      <c r="B52" s="455"/>
      <c r="C52" s="481"/>
      <c r="D52" s="469"/>
      <c r="E52" s="320" t="s">
        <v>41</v>
      </c>
      <c r="F52" s="92" t="s">
        <v>2</v>
      </c>
      <c r="G52" s="93">
        <v>52214.879999999997</v>
      </c>
      <c r="H52" s="91">
        <v>0</v>
      </c>
      <c r="I52" s="91">
        <v>0</v>
      </c>
      <c r="J52" s="91">
        <v>0</v>
      </c>
      <c r="K52" s="91">
        <v>0</v>
      </c>
      <c r="L52" s="91">
        <v>0</v>
      </c>
      <c r="M52" s="457"/>
      <c r="N52" s="488"/>
      <c r="O52" s="257"/>
    </row>
    <row r="53" spans="1:15" s="435" customFormat="1" ht="19.95" customHeight="1">
      <c r="A53" s="434"/>
      <c r="B53" s="455"/>
      <c r="C53" s="481"/>
      <c r="D53" s="469"/>
      <c r="E53" s="320" t="s">
        <v>154</v>
      </c>
      <c r="F53" s="92" t="s">
        <v>2</v>
      </c>
      <c r="G53" s="93">
        <v>289046.64</v>
      </c>
      <c r="H53" s="91">
        <v>0</v>
      </c>
      <c r="I53" s="91">
        <v>0</v>
      </c>
      <c r="J53" s="91">
        <v>0</v>
      </c>
      <c r="K53" s="91">
        <v>0</v>
      </c>
      <c r="L53" s="91">
        <v>0</v>
      </c>
      <c r="M53" s="457"/>
      <c r="N53" s="488"/>
      <c r="O53" s="257"/>
    </row>
    <row r="54" spans="1:15" s="435" customFormat="1" ht="19.95" customHeight="1">
      <c r="A54" s="434"/>
      <c r="B54" s="455"/>
      <c r="C54" s="481"/>
      <c r="D54" s="469"/>
      <c r="E54" s="284" t="s">
        <v>155</v>
      </c>
      <c r="F54" s="45" t="s">
        <v>2</v>
      </c>
      <c r="G54" s="73">
        <v>12220.85</v>
      </c>
      <c r="H54" s="73">
        <v>6509.65</v>
      </c>
      <c r="I54" s="73">
        <v>5076.7</v>
      </c>
      <c r="J54" s="52">
        <v>8094.61</v>
      </c>
      <c r="K54" s="52">
        <v>8045</v>
      </c>
      <c r="L54" s="52">
        <v>9922</v>
      </c>
      <c r="M54" s="457"/>
      <c r="N54" s="488"/>
      <c r="O54" s="257"/>
    </row>
    <row r="55" spans="1:15" s="435" customFormat="1" ht="19.95" customHeight="1">
      <c r="A55" s="434"/>
      <c r="B55" s="455"/>
      <c r="C55" s="481"/>
      <c r="D55" s="469"/>
      <c r="E55" s="123" t="s">
        <v>156</v>
      </c>
      <c r="F55" s="47" t="s">
        <v>2</v>
      </c>
      <c r="G55" s="81">
        <f>G54+G51</f>
        <v>353482.37</v>
      </c>
      <c r="H55" s="81">
        <f t="shared" ref="H55:L55" si="8">H54+H51</f>
        <v>6509.65</v>
      </c>
      <c r="I55" s="81">
        <f t="shared" si="8"/>
        <v>5076.7</v>
      </c>
      <c r="J55" s="81">
        <f t="shared" si="8"/>
        <v>8094.61</v>
      </c>
      <c r="K55" s="81">
        <f t="shared" si="8"/>
        <v>8045</v>
      </c>
      <c r="L55" s="81">
        <f t="shared" si="8"/>
        <v>9922</v>
      </c>
      <c r="M55" s="457"/>
      <c r="N55" s="488"/>
      <c r="O55" s="257"/>
    </row>
    <row r="56" spans="1:15" s="435" customFormat="1" ht="19.95" customHeight="1" thickBot="1">
      <c r="A56" s="434"/>
      <c r="B56" s="455"/>
      <c r="C56" s="481"/>
      <c r="D56" s="471"/>
      <c r="E56" s="74" t="s">
        <v>157</v>
      </c>
      <c r="F56" s="75" t="s">
        <v>2</v>
      </c>
      <c r="G56" s="76">
        <f>G50+G55</f>
        <v>1888218.08</v>
      </c>
      <c r="H56" s="76">
        <v>1596852.18</v>
      </c>
      <c r="I56" s="76">
        <v>1417949.23</v>
      </c>
      <c r="J56" s="76">
        <v>1371412.09</v>
      </c>
      <c r="K56" s="76">
        <f>SUM(K50,K55)</f>
        <v>1322706.83</v>
      </c>
      <c r="L56" s="76">
        <f>SUM(L50,L55)</f>
        <v>1307892.1027100417</v>
      </c>
      <c r="M56" s="458"/>
      <c r="N56" s="495"/>
      <c r="O56" s="257"/>
    </row>
    <row r="57" spans="1:15" s="435" customFormat="1" ht="19.95" customHeight="1" thickBot="1">
      <c r="A57" s="434"/>
      <c r="B57" s="455"/>
      <c r="C57" s="481"/>
      <c r="D57" s="163" t="s">
        <v>158</v>
      </c>
      <c r="E57" s="119" t="s">
        <v>159</v>
      </c>
      <c r="F57" s="94" t="s">
        <v>1</v>
      </c>
      <c r="G57" s="87">
        <f>SUM(G43,G48,G47)/G56*100</f>
        <v>81.279579210469166</v>
      </c>
      <c r="H57" s="87">
        <v>100</v>
      </c>
      <c r="I57" s="87">
        <v>100</v>
      </c>
      <c r="J57" s="87">
        <v>100</v>
      </c>
      <c r="K57" s="87">
        <v>100</v>
      </c>
      <c r="L57" s="87">
        <v>100</v>
      </c>
      <c r="M57" s="88" t="s">
        <v>32</v>
      </c>
      <c r="N57" s="89"/>
      <c r="O57" s="257"/>
    </row>
    <row r="58" spans="1:15" s="435" customFormat="1" ht="19.95" customHeight="1">
      <c r="A58" s="434"/>
      <c r="B58" s="455"/>
      <c r="C58" s="481"/>
      <c r="D58" s="476" t="s">
        <v>160</v>
      </c>
      <c r="E58" s="282" t="s">
        <v>116</v>
      </c>
      <c r="F58" s="56" t="s">
        <v>36</v>
      </c>
      <c r="G58" s="95">
        <v>7.64</v>
      </c>
      <c r="H58" s="95">
        <v>7.7</v>
      </c>
      <c r="I58" s="95">
        <v>5.95</v>
      </c>
      <c r="J58" s="95">
        <v>4.2699999999999996</v>
      </c>
      <c r="K58" s="95">
        <v>3.77</v>
      </c>
      <c r="L58" s="95">
        <v>3.5867318262080632</v>
      </c>
      <c r="M58" s="459" t="s">
        <v>42</v>
      </c>
      <c r="N58" s="496" t="s">
        <v>203</v>
      </c>
      <c r="O58" s="257"/>
    </row>
    <row r="59" spans="1:15" s="435" customFormat="1" ht="19.95" customHeight="1">
      <c r="A59" s="434"/>
      <c r="B59" s="455"/>
      <c r="C59" s="481"/>
      <c r="D59" s="473"/>
      <c r="E59" s="283" t="s">
        <v>117</v>
      </c>
      <c r="F59" s="43" t="s">
        <v>36</v>
      </c>
      <c r="G59" s="96">
        <v>83.07</v>
      </c>
      <c r="H59" s="96">
        <v>96.11</v>
      </c>
      <c r="I59" s="96">
        <v>64.38</v>
      </c>
      <c r="J59" s="96">
        <v>66.150000000000006</v>
      </c>
      <c r="K59" s="96">
        <v>86.94</v>
      </c>
      <c r="L59" s="96">
        <v>68.006397359320971</v>
      </c>
      <c r="M59" s="457"/>
      <c r="N59" s="497"/>
      <c r="O59" s="257"/>
    </row>
    <row r="60" spans="1:15" s="435" customFormat="1" ht="19.95" customHeight="1">
      <c r="A60" s="434"/>
      <c r="B60" s="455"/>
      <c r="C60" s="481"/>
      <c r="D60" s="473"/>
      <c r="E60" s="283" t="s">
        <v>118</v>
      </c>
      <c r="F60" s="43" t="s">
        <v>194</v>
      </c>
      <c r="G60" s="96">
        <v>19.27</v>
      </c>
      <c r="H60" s="96">
        <v>17.75</v>
      </c>
      <c r="I60" s="96">
        <v>16.190000000000001</v>
      </c>
      <c r="J60" s="96">
        <v>15.52</v>
      </c>
      <c r="K60" s="96">
        <v>15.25</v>
      </c>
      <c r="L60" s="96">
        <v>15.44797910071172</v>
      </c>
      <c r="M60" s="457"/>
      <c r="N60" s="497"/>
      <c r="O60" s="257"/>
    </row>
    <row r="61" spans="1:15" s="435" customFormat="1" ht="19.95" customHeight="1" thickBot="1">
      <c r="A61" s="434"/>
      <c r="B61" s="455"/>
      <c r="C61" s="481"/>
      <c r="D61" s="477"/>
      <c r="E61" s="286" t="s">
        <v>119</v>
      </c>
      <c r="F61" s="59" t="s">
        <v>38</v>
      </c>
      <c r="G61" s="97">
        <v>20.47</v>
      </c>
      <c r="H61" s="97">
        <v>18.8</v>
      </c>
      <c r="I61" s="97">
        <v>17.03</v>
      </c>
      <c r="J61" s="97">
        <v>16.100000000000001</v>
      </c>
      <c r="K61" s="97">
        <v>15.81</v>
      </c>
      <c r="L61" s="97">
        <v>15.966370211823753</v>
      </c>
      <c r="M61" s="458"/>
      <c r="N61" s="498"/>
      <c r="O61" s="257"/>
    </row>
    <row r="62" spans="1:15" s="435" customFormat="1" ht="19.95" customHeight="1">
      <c r="A62" s="434"/>
      <c r="B62" s="455"/>
      <c r="C62" s="481"/>
      <c r="D62" s="476" t="s">
        <v>161</v>
      </c>
      <c r="E62" s="282" t="s">
        <v>162</v>
      </c>
      <c r="F62" s="56" t="s">
        <v>2</v>
      </c>
      <c r="G62" s="71">
        <v>2335.13</v>
      </c>
      <c r="H62" s="71">
        <v>1188.8399999999999</v>
      </c>
      <c r="I62" s="71">
        <v>956.3</v>
      </c>
      <c r="J62" s="71">
        <v>1286.25</v>
      </c>
      <c r="K62" s="71">
        <v>1835.68</v>
      </c>
      <c r="L62" s="71">
        <v>5294.856909392528</v>
      </c>
      <c r="M62" s="459" t="s">
        <v>32</v>
      </c>
      <c r="N62" s="496" t="s">
        <v>204</v>
      </c>
      <c r="O62" s="257"/>
    </row>
    <row r="63" spans="1:15" s="435" customFormat="1" ht="19.95" customHeight="1">
      <c r="A63" s="434"/>
      <c r="B63" s="455"/>
      <c r="C63" s="481"/>
      <c r="D63" s="473"/>
      <c r="E63" s="123" t="s">
        <v>153</v>
      </c>
      <c r="F63" s="47" t="s">
        <v>2</v>
      </c>
      <c r="G63" s="81">
        <v>2335.13</v>
      </c>
      <c r="H63" s="81">
        <v>1188.8399999999999</v>
      </c>
      <c r="I63" s="81">
        <v>956.3</v>
      </c>
      <c r="J63" s="81">
        <v>1286.25</v>
      </c>
      <c r="K63" s="81">
        <v>1835.68</v>
      </c>
      <c r="L63" s="81">
        <f>SUM(L62)</f>
        <v>5294.856909392528</v>
      </c>
      <c r="M63" s="457"/>
      <c r="N63" s="497"/>
      <c r="O63" s="257"/>
    </row>
    <row r="64" spans="1:15" s="435" customFormat="1" ht="19.95" customHeight="1">
      <c r="A64" s="434"/>
      <c r="B64" s="455"/>
      <c r="C64" s="481"/>
      <c r="D64" s="473"/>
      <c r="E64" s="283" t="s">
        <v>163</v>
      </c>
      <c r="F64" s="43" t="s">
        <v>2</v>
      </c>
      <c r="G64" s="72">
        <v>8472.1</v>
      </c>
      <c r="H64" s="72">
        <v>5101.9799999999996</v>
      </c>
      <c r="I64" s="72">
        <v>6102.92</v>
      </c>
      <c r="J64" s="72">
        <v>7541.29</v>
      </c>
      <c r="K64" s="72">
        <v>6774.46</v>
      </c>
      <c r="L64" s="72">
        <v>8617.2413129189845</v>
      </c>
      <c r="M64" s="457"/>
      <c r="N64" s="497"/>
      <c r="O64" s="257"/>
    </row>
    <row r="65" spans="1:15" s="435" customFormat="1" ht="19.95" customHeight="1">
      <c r="A65" s="434"/>
      <c r="B65" s="455"/>
      <c r="C65" s="481"/>
      <c r="D65" s="473"/>
      <c r="E65" s="283" t="s">
        <v>164</v>
      </c>
      <c r="F65" s="43" t="s">
        <v>2</v>
      </c>
      <c r="G65" s="72">
        <v>69.36</v>
      </c>
      <c r="H65" s="72">
        <v>83.79</v>
      </c>
      <c r="I65" s="72">
        <v>75.7</v>
      </c>
      <c r="J65" s="72">
        <v>101.79</v>
      </c>
      <c r="K65" s="72">
        <v>69.319999999999993</v>
      </c>
      <c r="L65" s="72">
        <v>77.849742907659618</v>
      </c>
      <c r="M65" s="457"/>
      <c r="N65" s="497"/>
      <c r="O65" s="257"/>
    </row>
    <row r="66" spans="1:15" s="435" customFormat="1" ht="19.95" customHeight="1">
      <c r="A66" s="434"/>
      <c r="B66" s="455"/>
      <c r="C66" s="481"/>
      <c r="D66" s="473"/>
      <c r="E66" s="283" t="s">
        <v>165</v>
      </c>
      <c r="F66" s="43" t="s">
        <v>2</v>
      </c>
      <c r="G66" s="72">
        <v>7004.46</v>
      </c>
      <c r="H66" s="72">
        <v>5855.36</v>
      </c>
      <c r="I66" s="72">
        <v>6414.8</v>
      </c>
      <c r="J66" s="72">
        <v>17166.740000000002</v>
      </c>
      <c r="K66" s="72">
        <v>16437.689999999999</v>
      </c>
      <c r="L66" s="72">
        <v>14993.047069646631</v>
      </c>
      <c r="M66" s="457"/>
      <c r="N66" s="497"/>
      <c r="O66" s="257"/>
    </row>
    <row r="67" spans="1:15" s="435" customFormat="1" ht="19.95" customHeight="1">
      <c r="A67" s="434"/>
      <c r="B67" s="455"/>
      <c r="C67" s="481"/>
      <c r="D67" s="473"/>
      <c r="E67" s="123" t="s">
        <v>156</v>
      </c>
      <c r="F67" s="47" t="s">
        <v>2</v>
      </c>
      <c r="G67" s="81">
        <f t="shared" ref="G67:L67" si="9">SUM(G64:G66)</f>
        <v>15545.920000000002</v>
      </c>
      <c r="H67" s="81">
        <f t="shared" si="9"/>
        <v>11041.13</v>
      </c>
      <c r="I67" s="81">
        <f t="shared" si="9"/>
        <v>12593.42</v>
      </c>
      <c r="J67" s="81">
        <f t="shared" si="9"/>
        <v>24809.82</v>
      </c>
      <c r="K67" s="81">
        <f t="shared" si="9"/>
        <v>23281.469999999998</v>
      </c>
      <c r="L67" s="81">
        <f t="shared" si="9"/>
        <v>23688.138125473277</v>
      </c>
      <c r="M67" s="457"/>
      <c r="N67" s="497"/>
      <c r="O67" s="257"/>
    </row>
    <row r="68" spans="1:15" s="435" customFormat="1" ht="19.95" customHeight="1" thickBot="1">
      <c r="A68" s="434"/>
      <c r="B68" s="455"/>
      <c r="C68" s="481"/>
      <c r="D68" s="477"/>
      <c r="E68" s="74" t="s">
        <v>166</v>
      </c>
      <c r="F68" s="75" t="s">
        <v>2</v>
      </c>
      <c r="G68" s="76">
        <f t="shared" ref="G68:L68" si="10">SUM(G67,G63)</f>
        <v>17881.050000000003</v>
      </c>
      <c r="H68" s="76">
        <f t="shared" si="10"/>
        <v>12229.97</v>
      </c>
      <c r="I68" s="76">
        <f t="shared" si="10"/>
        <v>13549.72</v>
      </c>
      <c r="J68" s="76">
        <f t="shared" si="10"/>
        <v>26096.07</v>
      </c>
      <c r="K68" s="76">
        <f t="shared" si="10"/>
        <v>25117.149999999998</v>
      </c>
      <c r="L68" s="76">
        <f t="shared" si="10"/>
        <v>28982.995034865806</v>
      </c>
      <c r="M68" s="458"/>
      <c r="N68" s="498"/>
      <c r="O68" s="257"/>
    </row>
    <row r="69" spans="1:15" s="435" customFormat="1" ht="19.95" customHeight="1">
      <c r="A69" s="434"/>
      <c r="B69" s="455"/>
      <c r="C69" s="481"/>
      <c r="D69" s="468" t="s">
        <v>704</v>
      </c>
      <c r="E69" s="285" t="s">
        <v>167</v>
      </c>
      <c r="F69" s="41" t="s">
        <v>2</v>
      </c>
      <c r="G69" s="305">
        <v>238528.56</v>
      </c>
      <c r="H69" s="305">
        <v>248159.98</v>
      </c>
      <c r="I69" s="305">
        <v>199211.44</v>
      </c>
      <c r="J69" s="305">
        <v>142784.63</v>
      </c>
      <c r="K69" s="305">
        <v>164146.70515175999</v>
      </c>
      <c r="L69" s="305">
        <v>142281.6195766523</v>
      </c>
      <c r="M69" s="459" t="s">
        <v>43</v>
      </c>
      <c r="N69" s="487" t="s">
        <v>204</v>
      </c>
      <c r="O69" s="257"/>
    </row>
    <row r="70" spans="1:15" s="435" customFormat="1" ht="19.95" customHeight="1">
      <c r="A70" s="434"/>
      <c r="B70" s="455"/>
      <c r="C70" s="481"/>
      <c r="D70" s="469"/>
      <c r="E70" s="283" t="s">
        <v>168</v>
      </c>
      <c r="F70" s="43" t="s">
        <v>2</v>
      </c>
      <c r="G70" s="72">
        <v>455705.99</v>
      </c>
      <c r="H70" s="72">
        <v>431037.55</v>
      </c>
      <c r="I70" s="72">
        <v>470365.08</v>
      </c>
      <c r="J70" s="72">
        <v>1038440.52</v>
      </c>
      <c r="K70" s="72">
        <v>472153</v>
      </c>
      <c r="L70" s="72">
        <v>474352.1444040389</v>
      </c>
      <c r="M70" s="457"/>
      <c r="N70" s="488"/>
      <c r="O70" s="257"/>
    </row>
    <row r="71" spans="1:15" s="435" customFormat="1" ht="19.95" customHeight="1">
      <c r="A71" s="434"/>
      <c r="B71" s="455"/>
      <c r="C71" s="481"/>
      <c r="D71" s="469"/>
      <c r="E71" s="283" t="s">
        <v>169</v>
      </c>
      <c r="F71" s="43" t="s">
        <v>2</v>
      </c>
      <c r="G71" s="72">
        <v>193761.13</v>
      </c>
      <c r="H71" s="72">
        <v>170770.93</v>
      </c>
      <c r="I71" s="72">
        <v>126131.39</v>
      </c>
      <c r="J71" s="72">
        <v>96890.42</v>
      </c>
      <c r="K71" s="72">
        <v>90891.446083967807</v>
      </c>
      <c r="L71" s="72">
        <v>60795.572403539569</v>
      </c>
      <c r="M71" s="457"/>
      <c r="N71" s="488"/>
      <c r="O71" s="257"/>
    </row>
    <row r="72" spans="1:15" s="435" customFormat="1" ht="19.95" customHeight="1">
      <c r="A72" s="434"/>
      <c r="B72" s="455"/>
      <c r="C72" s="481"/>
      <c r="D72" s="469"/>
      <c r="E72" s="283" t="s">
        <v>170</v>
      </c>
      <c r="F72" s="43" t="s">
        <v>2</v>
      </c>
      <c r="G72" s="72">
        <v>97103.74</v>
      </c>
      <c r="H72" s="72">
        <v>89136</v>
      </c>
      <c r="I72" s="72">
        <v>38233.35</v>
      </c>
      <c r="J72" s="72">
        <v>23663.5</v>
      </c>
      <c r="K72" s="72">
        <v>34404.118551882551</v>
      </c>
      <c r="L72" s="72">
        <v>36320</v>
      </c>
      <c r="M72" s="457"/>
      <c r="N72" s="488"/>
      <c r="O72" s="257"/>
    </row>
    <row r="73" spans="1:15" s="435" customFormat="1" ht="19.95" customHeight="1">
      <c r="A73" s="434"/>
      <c r="B73" s="455"/>
      <c r="C73" s="481"/>
      <c r="D73" s="469"/>
      <c r="E73" s="283" t="s">
        <v>171</v>
      </c>
      <c r="F73" s="43" t="s">
        <v>2</v>
      </c>
      <c r="G73" s="326" t="s">
        <v>54</v>
      </c>
      <c r="H73" s="326" t="s">
        <v>54</v>
      </c>
      <c r="I73" s="326" t="s">
        <v>54</v>
      </c>
      <c r="J73" s="326" t="s">
        <v>54</v>
      </c>
      <c r="K73" s="72">
        <v>470.69194061862385</v>
      </c>
      <c r="L73" s="72">
        <v>399</v>
      </c>
      <c r="M73" s="457"/>
      <c r="N73" s="488"/>
      <c r="O73" s="257"/>
    </row>
    <row r="74" spans="1:15" s="435" customFormat="1" ht="19.95" customHeight="1">
      <c r="A74" s="434"/>
      <c r="B74" s="455"/>
      <c r="C74" s="481"/>
      <c r="D74" s="469"/>
      <c r="E74" s="283" t="s">
        <v>172</v>
      </c>
      <c r="F74" s="43" t="s">
        <v>2</v>
      </c>
      <c r="G74" s="326" t="s">
        <v>54</v>
      </c>
      <c r="H74" s="326" t="s">
        <v>54</v>
      </c>
      <c r="I74" s="326" t="s">
        <v>54</v>
      </c>
      <c r="J74" s="326" t="s">
        <v>54</v>
      </c>
      <c r="K74" s="326" t="s">
        <v>54</v>
      </c>
      <c r="L74" s="72">
        <v>20474</v>
      </c>
      <c r="M74" s="457"/>
      <c r="N74" s="488"/>
      <c r="O74" s="257"/>
    </row>
    <row r="75" spans="1:15" s="435" customFormat="1" ht="19.95" customHeight="1">
      <c r="A75" s="434"/>
      <c r="B75" s="455"/>
      <c r="C75" s="481"/>
      <c r="D75" s="469"/>
      <c r="E75" s="283" t="s">
        <v>173</v>
      </c>
      <c r="F75" s="43" t="s">
        <v>2</v>
      </c>
      <c r="G75" s="305">
        <v>189098.33</v>
      </c>
      <c r="H75" s="305">
        <v>31984.37</v>
      </c>
      <c r="I75" s="305">
        <v>8936.25</v>
      </c>
      <c r="J75" s="305">
        <v>43198.67</v>
      </c>
      <c r="K75" s="72">
        <v>105528</v>
      </c>
      <c r="L75" s="72">
        <v>128757</v>
      </c>
      <c r="M75" s="457"/>
      <c r="N75" s="488"/>
      <c r="O75" s="257"/>
    </row>
    <row r="76" spans="1:15" s="435" customFormat="1" ht="19.95" customHeight="1">
      <c r="A76" s="434"/>
      <c r="B76" s="455"/>
      <c r="C76" s="481"/>
      <c r="D76" s="469"/>
      <c r="E76" s="283" t="s">
        <v>174</v>
      </c>
      <c r="F76" s="43" t="s">
        <v>2</v>
      </c>
      <c r="G76" s="72">
        <v>104180.83</v>
      </c>
      <c r="H76" s="72">
        <v>19560.580000000002</v>
      </c>
      <c r="I76" s="72">
        <v>30918.79</v>
      </c>
      <c r="J76" s="72">
        <v>41607.35</v>
      </c>
      <c r="K76" s="72">
        <v>66261</v>
      </c>
      <c r="L76" s="72">
        <v>78961.749304789264</v>
      </c>
      <c r="M76" s="457"/>
      <c r="N76" s="488"/>
      <c r="O76" s="257"/>
    </row>
    <row r="77" spans="1:15" s="435" customFormat="1" ht="19.95" customHeight="1">
      <c r="A77" s="434"/>
      <c r="B77" s="455"/>
      <c r="C77" s="481"/>
      <c r="D77" s="469"/>
      <c r="E77" s="283" t="s">
        <v>175</v>
      </c>
      <c r="F77" s="43" t="s">
        <v>2</v>
      </c>
      <c r="G77" s="72">
        <v>74263.070000000007</v>
      </c>
      <c r="H77" s="72">
        <v>46365.01</v>
      </c>
      <c r="I77" s="72">
        <v>17069.36</v>
      </c>
      <c r="J77" s="72">
        <v>28258.47</v>
      </c>
      <c r="K77" s="72">
        <v>31597</v>
      </c>
      <c r="L77" s="72">
        <v>40112.349182099526</v>
      </c>
      <c r="M77" s="457"/>
      <c r="N77" s="488"/>
      <c r="O77" s="257"/>
    </row>
    <row r="78" spans="1:15" s="435" customFormat="1" ht="19.95" customHeight="1">
      <c r="A78" s="434"/>
      <c r="B78" s="455"/>
      <c r="C78" s="481"/>
      <c r="D78" s="469"/>
      <c r="E78" s="283" t="s">
        <v>130</v>
      </c>
      <c r="F78" s="43" t="s">
        <v>2</v>
      </c>
      <c r="G78" s="72">
        <v>1824551.87</v>
      </c>
      <c r="H78" s="72">
        <v>1101466.8500000001</v>
      </c>
      <c r="I78" s="72">
        <v>761384.11</v>
      </c>
      <c r="J78" s="72">
        <v>972749.08</v>
      </c>
      <c r="K78" s="72">
        <v>974187</v>
      </c>
      <c r="L78" s="72">
        <v>930299.30945164512</v>
      </c>
      <c r="M78" s="457"/>
      <c r="N78" s="488"/>
      <c r="O78" s="257"/>
    </row>
    <row r="79" spans="1:15" s="435" customFormat="1" ht="19.95" customHeight="1">
      <c r="A79" s="434"/>
      <c r="B79" s="455"/>
      <c r="C79" s="481"/>
      <c r="D79" s="469"/>
      <c r="E79" s="283" t="s">
        <v>176</v>
      </c>
      <c r="F79" s="43" t="s">
        <v>2</v>
      </c>
      <c r="G79" s="72">
        <v>10937.09</v>
      </c>
      <c r="H79" s="72">
        <v>0</v>
      </c>
      <c r="I79" s="72">
        <v>0</v>
      </c>
      <c r="J79" s="72">
        <v>8374.59</v>
      </c>
      <c r="K79" s="72">
        <v>6422</v>
      </c>
      <c r="L79" s="72">
        <v>6014</v>
      </c>
      <c r="M79" s="457"/>
      <c r="N79" s="488"/>
      <c r="O79" s="257"/>
    </row>
    <row r="80" spans="1:15" s="435" customFormat="1" ht="19.95" customHeight="1">
      <c r="A80" s="434"/>
      <c r="B80" s="455"/>
      <c r="C80" s="481"/>
      <c r="D80" s="469"/>
      <c r="E80" s="284" t="s">
        <v>177</v>
      </c>
      <c r="F80" s="45" t="s">
        <v>2</v>
      </c>
      <c r="G80" s="52" t="s">
        <v>216</v>
      </c>
      <c r="H80" s="52" t="s">
        <v>216</v>
      </c>
      <c r="I80" s="73">
        <v>52030.8</v>
      </c>
      <c r="J80" s="73">
        <v>36356.400000000001</v>
      </c>
      <c r="K80" s="73">
        <v>15692</v>
      </c>
      <c r="L80" s="73">
        <v>15487</v>
      </c>
      <c r="M80" s="457"/>
      <c r="N80" s="488"/>
      <c r="O80" s="257"/>
    </row>
    <row r="81" spans="1:15" s="435" customFormat="1" ht="19.95" customHeight="1" thickBot="1">
      <c r="A81" s="434"/>
      <c r="B81" s="455"/>
      <c r="C81" s="482"/>
      <c r="D81" s="478"/>
      <c r="E81" s="277" t="s">
        <v>178</v>
      </c>
      <c r="F81" s="98" t="s">
        <v>2</v>
      </c>
      <c r="G81" s="99">
        <f t="shared" ref="G81:L81" si="11">SUM(G69:G80)</f>
        <v>3188130.6100000003</v>
      </c>
      <c r="H81" s="99">
        <f t="shared" si="11"/>
        <v>2138481.27</v>
      </c>
      <c r="I81" s="99">
        <f t="shared" si="11"/>
        <v>1704280.57</v>
      </c>
      <c r="J81" s="99">
        <f t="shared" si="11"/>
        <v>2432323.6299999994</v>
      </c>
      <c r="K81" s="99">
        <f t="shared" si="11"/>
        <v>1961752.9617282292</v>
      </c>
      <c r="L81" s="99">
        <f t="shared" si="11"/>
        <v>1934253.7443227647</v>
      </c>
      <c r="M81" s="458"/>
      <c r="N81" s="495"/>
      <c r="O81" s="257"/>
    </row>
    <row r="82" spans="1:15" s="435" customFormat="1" ht="24" customHeight="1">
      <c r="A82" s="434"/>
      <c r="B82" s="455"/>
      <c r="C82" s="472" t="s">
        <v>179</v>
      </c>
      <c r="D82" s="472" t="s">
        <v>180</v>
      </c>
      <c r="E82" s="307" t="s">
        <v>181</v>
      </c>
      <c r="F82" s="100" t="s">
        <v>45</v>
      </c>
      <c r="G82" s="101">
        <v>2427</v>
      </c>
      <c r="H82" s="101">
        <v>9098</v>
      </c>
      <c r="I82" s="101">
        <v>8275</v>
      </c>
      <c r="J82" s="305">
        <v>7348.95</v>
      </c>
      <c r="K82" s="305">
        <v>3531.36</v>
      </c>
      <c r="L82" s="305">
        <v>7054.4617180000005</v>
      </c>
      <c r="M82" s="459" t="s">
        <v>37</v>
      </c>
      <c r="N82" s="487" t="s">
        <v>205</v>
      </c>
      <c r="O82" s="257"/>
    </row>
    <row r="83" spans="1:15" s="435" customFormat="1" ht="24" customHeight="1">
      <c r="A83" s="434"/>
      <c r="B83" s="455"/>
      <c r="C83" s="473"/>
      <c r="D83" s="473"/>
      <c r="E83" s="283" t="s">
        <v>182</v>
      </c>
      <c r="F83" s="43" t="s">
        <v>45</v>
      </c>
      <c r="G83" s="72">
        <v>33.97</v>
      </c>
      <c r="H83" s="72">
        <v>61.92</v>
      </c>
      <c r="I83" s="72">
        <v>40.08</v>
      </c>
      <c r="J83" s="72">
        <v>10.15</v>
      </c>
      <c r="K83" s="72">
        <v>0</v>
      </c>
      <c r="L83" s="72">
        <v>0</v>
      </c>
      <c r="M83" s="457"/>
      <c r="N83" s="488"/>
      <c r="O83" s="257"/>
    </row>
    <row r="84" spans="1:15" s="435" customFormat="1" ht="24" customHeight="1">
      <c r="A84" s="434"/>
      <c r="B84" s="455"/>
      <c r="C84" s="473"/>
      <c r="D84" s="473"/>
      <c r="E84" s="283" t="s">
        <v>183</v>
      </c>
      <c r="F84" s="43" t="s">
        <v>45</v>
      </c>
      <c r="G84" s="72">
        <v>0</v>
      </c>
      <c r="H84" s="72">
        <v>0</v>
      </c>
      <c r="I84" s="72">
        <v>754</v>
      </c>
      <c r="J84" s="72">
        <v>926.7</v>
      </c>
      <c r="K84" s="72">
        <v>1075.1500000000001</v>
      </c>
      <c r="L84" s="72">
        <v>1264.6729499999999</v>
      </c>
      <c r="M84" s="457"/>
      <c r="N84" s="488"/>
      <c r="O84" s="257"/>
    </row>
    <row r="85" spans="1:15" s="435" customFormat="1" ht="24" customHeight="1">
      <c r="A85" s="434"/>
      <c r="B85" s="455"/>
      <c r="C85" s="473"/>
      <c r="D85" s="473"/>
      <c r="E85" s="284" t="s">
        <v>184</v>
      </c>
      <c r="F85" s="45" t="s">
        <v>45</v>
      </c>
      <c r="G85" s="73">
        <v>6435</v>
      </c>
      <c r="H85" s="73">
        <v>5040</v>
      </c>
      <c r="I85" s="73">
        <v>3080</v>
      </c>
      <c r="J85" s="73">
        <v>3840.22</v>
      </c>
      <c r="K85" s="73">
        <v>3517.7902317287876</v>
      </c>
      <c r="L85" s="73">
        <v>3323.6883132915</v>
      </c>
      <c r="M85" s="457"/>
      <c r="N85" s="488"/>
      <c r="O85" s="257"/>
    </row>
    <row r="86" spans="1:15" s="435" customFormat="1" ht="24" customHeight="1" thickBot="1">
      <c r="A86" s="434"/>
      <c r="B86" s="455"/>
      <c r="C86" s="474"/>
      <c r="D86" s="474"/>
      <c r="E86" s="276" t="s">
        <v>185</v>
      </c>
      <c r="F86" s="102" t="s">
        <v>45</v>
      </c>
      <c r="G86" s="103">
        <v>8895.9699999999993</v>
      </c>
      <c r="H86" s="103">
        <v>14199.92</v>
      </c>
      <c r="I86" s="103">
        <v>12149.08</v>
      </c>
      <c r="J86" s="103">
        <v>12126.02</v>
      </c>
      <c r="K86" s="103">
        <f>SUM(K82:K85)</f>
        <v>8124.3002317287883</v>
      </c>
      <c r="L86" s="103">
        <f>SUM(L82:L85)</f>
        <v>11642.822981291501</v>
      </c>
      <c r="M86" s="457"/>
      <c r="N86" s="488"/>
      <c r="O86" s="257"/>
    </row>
    <row r="87" spans="1:15" s="435" customFormat="1" ht="19.95" customHeight="1">
      <c r="A87" s="434"/>
      <c r="B87" s="455"/>
      <c r="C87" s="476" t="s">
        <v>186</v>
      </c>
      <c r="D87" s="476" t="s">
        <v>187</v>
      </c>
      <c r="E87" s="282" t="s">
        <v>188</v>
      </c>
      <c r="F87" s="104" t="s">
        <v>45</v>
      </c>
      <c r="G87" s="105">
        <v>2272.3000000000002</v>
      </c>
      <c r="H87" s="105">
        <v>1566.5</v>
      </c>
      <c r="I87" s="105">
        <v>1054.78</v>
      </c>
      <c r="J87" s="105">
        <v>1317.4</v>
      </c>
      <c r="K87" s="105">
        <v>1134.04</v>
      </c>
      <c r="L87" s="105">
        <v>1179.1199999999999</v>
      </c>
      <c r="M87" s="465" t="s">
        <v>57</v>
      </c>
      <c r="N87" s="489" t="s">
        <v>206</v>
      </c>
      <c r="O87" s="259"/>
    </row>
    <row r="88" spans="1:15" s="435" customFormat="1" ht="19.95" customHeight="1">
      <c r="A88" s="434"/>
      <c r="B88" s="455"/>
      <c r="C88" s="473"/>
      <c r="D88" s="474"/>
      <c r="E88" s="292" t="s">
        <v>189</v>
      </c>
      <c r="F88" s="106" t="s">
        <v>45</v>
      </c>
      <c r="G88" s="107">
        <v>0.3</v>
      </c>
      <c r="H88" s="107">
        <v>0.06</v>
      </c>
      <c r="I88" s="107">
        <v>1.62</v>
      </c>
      <c r="J88" s="107">
        <v>0.15</v>
      </c>
      <c r="K88" s="107">
        <v>0.08</v>
      </c>
      <c r="L88" s="107">
        <v>0.14000000000000001</v>
      </c>
      <c r="M88" s="466"/>
      <c r="N88" s="490"/>
      <c r="O88" s="259"/>
    </row>
    <row r="89" spans="1:15" s="435" customFormat="1" ht="19.95" customHeight="1">
      <c r="A89" s="434"/>
      <c r="B89" s="455"/>
      <c r="C89" s="473"/>
      <c r="D89" s="492" t="s">
        <v>190</v>
      </c>
      <c r="E89" s="289" t="s">
        <v>58</v>
      </c>
      <c r="F89" s="109" t="s">
        <v>45</v>
      </c>
      <c r="G89" s="110">
        <v>225.56</v>
      </c>
      <c r="H89" s="110">
        <v>162.22</v>
      </c>
      <c r="I89" s="110">
        <v>197.39</v>
      </c>
      <c r="J89" s="110">
        <v>197.3</v>
      </c>
      <c r="K89" s="110">
        <v>173.2</v>
      </c>
      <c r="L89" s="110">
        <v>194.5</v>
      </c>
      <c r="M89" s="466"/>
      <c r="N89" s="490"/>
      <c r="O89" s="259"/>
    </row>
    <row r="90" spans="1:15" s="435" customFormat="1" ht="19.95" customHeight="1">
      <c r="A90" s="434"/>
      <c r="B90" s="455"/>
      <c r="C90" s="473"/>
      <c r="D90" s="493"/>
      <c r="E90" s="284" t="s">
        <v>59</v>
      </c>
      <c r="F90" s="111" t="s">
        <v>45</v>
      </c>
      <c r="G90" s="112">
        <v>0.05</v>
      </c>
      <c r="H90" s="112">
        <v>0.57999999999999996</v>
      </c>
      <c r="I90" s="112">
        <v>0.12</v>
      </c>
      <c r="J90" s="112">
        <v>0.13</v>
      </c>
      <c r="K90" s="112">
        <v>0.59</v>
      </c>
      <c r="L90" s="112">
        <v>0.75</v>
      </c>
      <c r="M90" s="466"/>
      <c r="N90" s="490"/>
      <c r="O90" s="259"/>
    </row>
    <row r="91" spans="1:15" s="435" customFormat="1" ht="19.95" customHeight="1">
      <c r="A91" s="434"/>
      <c r="B91" s="455"/>
      <c r="C91" s="474"/>
      <c r="D91" s="460" t="s">
        <v>191</v>
      </c>
      <c r="E91" s="462" t="s">
        <v>192</v>
      </c>
      <c r="F91" s="109" t="s">
        <v>45</v>
      </c>
      <c r="G91" s="110">
        <v>0.03</v>
      </c>
      <c r="H91" s="110">
        <v>0.04</v>
      </c>
      <c r="I91" s="110">
        <v>0.02</v>
      </c>
      <c r="J91" s="110">
        <v>0.02</v>
      </c>
      <c r="K91" s="110">
        <v>0.01</v>
      </c>
      <c r="L91" s="110">
        <v>0.01</v>
      </c>
      <c r="M91" s="466"/>
      <c r="N91" s="490"/>
      <c r="O91" s="259"/>
    </row>
    <row r="92" spans="1:15" s="435" customFormat="1" ht="19.95" customHeight="1" thickBot="1">
      <c r="A92" s="434"/>
      <c r="B92" s="456"/>
      <c r="C92" s="477"/>
      <c r="D92" s="461"/>
      <c r="E92" s="463"/>
      <c r="F92" s="75" t="s">
        <v>1</v>
      </c>
      <c r="G92" s="113">
        <v>0.01</v>
      </c>
      <c r="H92" s="113">
        <v>0.01</v>
      </c>
      <c r="I92" s="113">
        <v>0.01</v>
      </c>
      <c r="J92" s="113">
        <v>0.01</v>
      </c>
      <c r="K92" s="113">
        <v>0.01</v>
      </c>
      <c r="L92" s="113">
        <v>0.01</v>
      </c>
      <c r="M92" s="467"/>
      <c r="N92" s="491"/>
      <c r="O92" s="259"/>
    </row>
    <row r="93" spans="1:15" s="435" customFormat="1">
      <c r="B93" s="316" t="s">
        <v>107</v>
      </c>
      <c r="C93" s="436"/>
      <c r="D93" s="436"/>
      <c r="E93" s="437"/>
      <c r="F93" s="438"/>
      <c r="G93" s="438"/>
      <c r="H93" s="438"/>
      <c r="I93" s="438"/>
      <c r="J93" s="420"/>
      <c r="K93" s="420"/>
      <c r="L93" s="420"/>
      <c r="M93" s="420"/>
      <c r="N93" s="420"/>
      <c r="O93" s="439"/>
    </row>
    <row r="94" spans="1:15" s="435" customFormat="1" ht="20.399999999999999">
      <c r="B94" s="316" t="s">
        <v>108</v>
      </c>
      <c r="C94" s="436"/>
      <c r="D94" s="436"/>
      <c r="E94" s="437"/>
      <c r="F94" s="438"/>
      <c r="G94" s="438"/>
      <c r="H94" s="438"/>
      <c r="I94" s="438"/>
      <c r="J94" s="420"/>
      <c r="K94" s="420"/>
      <c r="L94" s="420"/>
      <c r="M94" s="420"/>
      <c r="N94" s="420"/>
      <c r="O94" s="439"/>
    </row>
    <row r="95" spans="1:15" s="435" customFormat="1">
      <c r="B95" s="317" t="s">
        <v>109</v>
      </c>
      <c r="C95" s="436"/>
      <c r="D95" s="436"/>
      <c r="E95" s="440"/>
      <c r="F95" s="438"/>
      <c r="G95" s="438"/>
      <c r="H95" s="438"/>
      <c r="I95" s="420"/>
      <c r="J95" s="420"/>
      <c r="K95" s="420"/>
      <c r="L95" s="420"/>
      <c r="M95" s="420"/>
      <c r="N95" s="316"/>
      <c r="O95" s="441"/>
    </row>
    <row r="96" spans="1:15" s="435" customFormat="1">
      <c r="B96" s="317" t="s">
        <v>110</v>
      </c>
      <c r="C96" s="317"/>
      <c r="D96" s="317"/>
      <c r="E96" s="316"/>
      <c r="F96" s="317"/>
      <c r="G96" s="317"/>
      <c r="H96" s="317"/>
      <c r="I96" s="317"/>
      <c r="J96" s="317"/>
      <c r="K96" s="317"/>
      <c r="L96" s="317"/>
      <c r="M96" s="317"/>
      <c r="N96" s="317"/>
      <c r="O96" s="442"/>
    </row>
    <row r="98" ht="17.850000000000001" customHeight="1"/>
    <row r="117" ht="17.850000000000001" customHeight="1"/>
    <row r="130" ht="17.850000000000001" customHeight="1"/>
    <row r="249" ht="12.9" customHeight="1"/>
    <row r="250" ht="28.65" customHeight="1"/>
  </sheetData>
  <mergeCells count="45">
    <mergeCell ref="N8:N14"/>
    <mergeCell ref="N15:N16"/>
    <mergeCell ref="N17:N26"/>
    <mergeCell ref="N27:N30"/>
    <mergeCell ref="N31:N34"/>
    <mergeCell ref="N35:N40"/>
    <mergeCell ref="N43:N56"/>
    <mergeCell ref="N58:N61"/>
    <mergeCell ref="N62:N68"/>
    <mergeCell ref="N69:N81"/>
    <mergeCell ref="N82:N86"/>
    <mergeCell ref="N87:N92"/>
    <mergeCell ref="C87:C92"/>
    <mergeCell ref="D89:D90"/>
    <mergeCell ref="D87:D88"/>
    <mergeCell ref="M82:M86"/>
    <mergeCell ref="D69:D81"/>
    <mergeCell ref="D82:D86"/>
    <mergeCell ref="D43:D56"/>
    <mergeCell ref="C43:C81"/>
    <mergeCell ref="D35:D40"/>
    <mergeCell ref="D62:D68"/>
    <mergeCell ref="C35:C42"/>
    <mergeCell ref="D15:D16"/>
    <mergeCell ref="D8:D14"/>
    <mergeCell ref="D27:D30"/>
    <mergeCell ref="D31:D34"/>
    <mergeCell ref="D58:D61"/>
    <mergeCell ref="D17:D26"/>
    <mergeCell ref="B8:B92"/>
    <mergeCell ref="M8:M14"/>
    <mergeCell ref="M15:M16"/>
    <mergeCell ref="M17:M26"/>
    <mergeCell ref="M27:M30"/>
    <mergeCell ref="M31:M34"/>
    <mergeCell ref="D91:D92"/>
    <mergeCell ref="E91:E92"/>
    <mergeCell ref="M35:M40"/>
    <mergeCell ref="M43:M56"/>
    <mergeCell ref="M62:M68"/>
    <mergeCell ref="M69:M81"/>
    <mergeCell ref="M58:M61"/>
    <mergeCell ref="M87:M92"/>
    <mergeCell ref="C8:C34"/>
    <mergeCell ref="C82:C86"/>
  </mergeCells>
  <phoneticPr fontId="6" type="noConversion"/>
  <printOptions horizontalCentered="1"/>
  <pageMargins left="0.23622047244094491" right="0.23622047244094491" top="0.35433070866141736" bottom="0.35433070866141736" header="0.31496062992125984" footer="0.31496062992125984"/>
  <pageSetup paperSize="9" scale="40" fitToHeight="4" orientation="landscape" r:id="rId1"/>
  <ignoredErrors>
    <ignoredError sqref="G67:J67 G51 G11:J11 G34:J34"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092F"/>
  </sheetPr>
  <dimension ref="B1:AF434"/>
  <sheetViews>
    <sheetView showGridLines="0" topLeftCell="A2" zoomScaleNormal="100" zoomScaleSheetLayoutView="70" workbookViewId="0">
      <pane xSplit="2" ySplit="6" topLeftCell="C88" activePane="bottomRight" state="frozen"/>
      <selection pane="topRight"/>
      <selection pane="bottomLeft"/>
      <selection pane="bottomRight" activeCell="D92" sqref="D92:D95"/>
    </sheetView>
  </sheetViews>
  <sheetFormatPr defaultColWidth="8" defaultRowHeight="13.2"/>
  <cols>
    <col min="1" max="1" width="2.6640625" style="14" customWidth="1"/>
    <col min="2" max="2" width="16.6640625" style="18" customWidth="1"/>
    <col min="3" max="3" width="17.33203125" style="18" customWidth="1"/>
    <col min="4" max="4" width="21.6640625" style="18" customWidth="1"/>
    <col min="5" max="5" width="39.6640625" style="1" customWidth="1"/>
    <col min="6" max="6" width="13.6640625" style="5" bestFit="1" customWidth="1"/>
    <col min="7" max="8" width="12.6640625" style="5" customWidth="1"/>
    <col min="9" max="10" width="12.6640625" style="14" customWidth="1"/>
    <col min="11" max="11" width="19.77734375" style="8" customWidth="1"/>
    <col min="12" max="13" width="53.77734375" style="348" customWidth="1"/>
    <col min="14" max="14" width="2.6640625" style="14" customWidth="1"/>
    <col min="15" max="16384" width="8" style="14"/>
  </cols>
  <sheetData>
    <row r="1" spans="2:14">
      <c r="L1" s="8"/>
    </row>
    <row r="2" spans="2:14">
      <c r="L2" s="8"/>
    </row>
    <row r="3" spans="2:14">
      <c r="L3" s="8"/>
    </row>
    <row r="4" spans="2:14">
      <c r="L4" s="8"/>
    </row>
    <row r="5" spans="2:14">
      <c r="L5" s="8"/>
    </row>
    <row r="6" spans="2:14" ht="13.8" thickBot="1">
      <c r="G6" s="19"/>
      <c r="L6" s="8"/>
    </row>
    <row r="7" spans="2:14" s="3" customFormat="1" ht="19.95" customHeight="1" thickBot="1">
      <c r="B7" s="21" t="s">
        <v>101</v>
      </c>
      <c r="C7" s="22"/>
      <c r="D7" s="448" t="s">
        <v>102</v>
      </c>
      <c r="E7" s="448" t="s">
        <v>103</v>
      </c>
      <c r="F7" s="270" t="s">
        <v>104</v>
      </c>
      <c r="G7" s="270">
        <v>2021</v>
      </c>
      <c r="H7" s="270">
        <v>2022</v>
      </c>
      <c r="I7" s="270">
        <v>2023</v>
      </c>
      <c r="J7" s="270">
        <v>2024</v>
      </c>
      <c r="K7" s="270" t="s">
        <v>105</v>
      </c>
      <c r="L7" s="270" t="s">
        <v>207</v>
      </c>
      <c r="M7" s="20" t="s">
        <v>208</v>
      </c>
    </row>
    <row r="8" spans="2:14" s="190" customFormat="1" ht="49.95" customHeight="1" thickBot="1">
      <c r="B8" s="540" t="s">
        <v>209</v>
      </c>
      <c r="C8" s="297" t="s">
        <v>210</v>
      </c>
      <c r="D8" s="297" t="s">
        <v>211</v>
      </c>
      <c r="E8" s="280" t="s">
        <v>211</v>
      </c>
      <c r="F8" s="301" t="s">
        <v>212</v>
      </c>
      <c r="G8" s="117">
        <v>74.099999999999994</v>
      </c>
      <c r="H8" s="116">
        <v>77.099999999999994</v>
      </c>
      <c r="I8" s="116">
        <v>71</v>
      </c>
      <c r="J8" s="116">
        <v>73</v>
      </c>
      <c r="K8" s="325" t="s">
        <v>213</v>
      </c>
      <c r="L8" s="334" t="s">
        <v>214</v>
      </c>
      <c r="M8" s="387"/>
    </row>
    <row r="9" spans="2:14" s="190" customFormat="1" ht="49.95" customHeight="1" thickBot="1">
      <c r="B9" s="541"/>
      <c r="C9" s="163" t="s">
        <v>215</v>
      </c>
      <c r="D9" s="163" t="s">
        <v>47</v>
      </c>
      <c r="E9" s="119" t="s">
        <v>217</v>
      </c>
      <c r="F9" s="301" t="s">
        <v>4</v>
      </c>
      <c r="G9" s="327" t="s">
        <v>54</v>
      </c>
      <c r="H9" s="116">
        <v>100</v>
      </c>
      <c r="I9" s="116">
        <v>110</v>
      </c>
      <c r="J9" s="116">
        <v>117</v>
      </c>
      <c r="K9" s="118" t="s">
        <v>34</v>
      </c>
      <c r="L9" s="334" t="s">
        <v>218</v>
      </c>
      <c r="M9" s="388" t="s">
        <v>219</v>
      </c>
    </row>
    <row r="10" spans="2:14" s="190" customFormat="1" ht="19.95" customHeight="1">
      <c r="B10" s="541"/>
      <c r="C10" s="485" t="s">
        <v>220</v>
      </c>
      <c r="D10" s="476" t="s">
        <v>221</v>
      </c>
      <c r="E10" s="282" t="s">
        <v>228</v>
      </c>
      <c r="F10" s="65" t="s">
        <v>229</v>
      </c>
      <c r="G10" s="120">
        <v>90659</v>
      </c>
      <c r="H10" s="71">
        <v>60653</v>
      </c>
      <c r="I10" s="71">
        <v>66679</v>
      </c>
      <c r="J10" s="71">
        <v>53899</v>
      </c>
      <c r="K10" s="483" t="s">
        <v>19</v>
      </c>
      <c r="L10" s="555" t="s">
        <v>234</v>
      </c>
      <c r="M10" s="602"/>
      <c r="N10" s="409"/>
    </row>
    <row r="11" spans="2:14" s="190" customFormat="1" ht="19.95" customHeight="1">
      <c r="B11" s="541"/>
      <c r="C11" s="481"/>
      <c r="D11" s="473"/>
      <c r="E11" s="283" t="s">
        <v>230</v>
      </c>
      <c r="F11" s="261" t="s">
        <v>1</v>
      </c>
      <c r="G11" s="121">
        <v>100</v>
      </c>
      <c r="H11" s="72">
        <v>100</v>
      </c>
      <c r="I11" s="72">
        <v>100</v>
      </c>
      <c r="J11" s="72">
        <v>100</v>
      </c>
      <c r="K11" s="484"/>
      <c r="L11" s="513"/>
      <c r="M11" s="561"/>
      <c r="N11" s="189"/>
    </row>
    <row r="12" spans="2:14" s="190" customFormat="1" ht="19.95" customHeight="1">
      <c r="B12" s="541"/>
      <c r="C12" s="481"/>
      <c r="D12" s="473" t="s">
        <v>222</v>
      </c>
      <c r="E12" s="283" t="s">
        <v>228</v>
      </c>
      <c r="F12" s="261" t="s">
        <v>229</v>
      </c>
      <c r="G12" s="121">
        <v>67749</v>
      </c>
      <c r="H12" s="72">
        <v>57887</v>
      </c>
      <c r="I12" s="72">
        <v>83984</v>
      </c>
      <c r="J12" s="72">
        <v>73761</v>
      </c>
      <c r="K12" s="484"/>
      <c r="L12" s="513"/>
      <c r="M12" s="561"/>
      <c r="N12" s="189"/>
    </row>
    <row r="13" spans="2:14" s="190" customFormat="1" ht="19.95" customHeight="1">
      <c r="B13" s="541"/>
      <c r="C13" s="481"/>
      <c r="D13" s="473"/>
      <c r="E13" s="283" t="s">
        <v>230</v>
      </c>
      <c r="F13" s="261" t="s">
        <v>1</v>
      </c>
      <c r="G13" s="121">
        <v>100</v>
      </c>
      <c r="H13" s="72">
        <v>100</v>
      </c>
      <c r="I13" s="72">
        <v>100</v>
      </c>
      <c r="J13" s="72">
        <v>100</v>
      </c>
      <c r="K13" s="484"/>
      <c r="L13" s="513"/>
      <c r="M13" s="561"/>
    </row>
    <row r="14" spans="2:14" s="190" customFormat="1" ht="19.95" customHeight="1">
      <c r="B14" s="541"/>
      <c r="C14" s="481"/>
      <c r="D14" s="473" t="s">
        <v>223</v>
      </c>
      <c r="E14" s="283" t="s">
        <v>228</v>
      </c>
      <c r="F14" s="261" t="s">
        <v>229</v>
      </c>
      <c r="G14" s="121">
        <v>63089</v>
      </c>
      <c r="H14" s="72">
        <v>56688</v>
      </c>
      <c r="I14" s="72">
        <v>69394</v>
      </c>
      <c r="J14" s="72">
        <v>67923</v>
      </c>
      <c r="K14" s="484"/>
      <c r="L14" s="513"/>
      <c r="M14" s="561"/>
    </row>
    <row r="15" spans="2:14" s="190" customFormat="1" ht="19.95" customHeight="1">
      <c r="B15" s="541"/>
      <c r="C15" s="481"/>
      <c r="D15" s="473"/>
      <c r="E15" s="283" t="s">
        <v>230</v>
      </c>
      <c r="F15" s="261" t="s">
        <v>1</v>
      </c>
      <c r="G15" s="121">
        <v>100</v>
      </c>
      <c r="H15" s="72">
        <v>100</v>
      </c>
      <c r="I15" s="72">
        <v>100</v>
      </c>
      <c r="J15" s="72">
        <v>100</v>
      </c>
      <c r="K15" s="484"/>
      <c r="L15" s="513"/>
      <c r="M15" s="561"/>
    </row>
    <row r="16" spans="2:14" s="190" customFormat="1" ht="19.95" customHeight="1">
      <c r="B16" s="541"/>
      <c r="C16" s="481"/>
      <c r="D16" s="473" t="s">
        <v>224</v>
      </c>
      <c r="E16" s="283" t="s">
        <v>228</v>
      </c>
      <c r="F16" s="261" t="s">
        <v>229</v>
      </c>
      <c r="G16" s="72">
        <v>0</v>
      </c>
      <c r="H16" s="72">
        <v>0</v>
      </c>
      <c r="I16" s="72">
        <v>0</v>
      </c>
      <c r="J16" s="72">
        <v>0</v>
      </c>
      <c r="K16" s="484"/>
      <c r="L16" s="513"/>
      <c r="M16" s="561"/>
    </row>
    <row r="17" spans="2:13" s="190" customFormat="1" ht="19.95" customHeight="1">
      <c r="B17" s="541"/>
      <c r="C17" s="481"/>
      <c r="D17" s="473"/>
      <c r="E17" s="283" t="s">
        <v>230</v>
      </c>
      <c r="F17" s="261" t="s">
        <v>1</v>
      </c>
      <c r="G17" s="122" t="s">
        <v>216</v>
      </c>
      <c r="H17" s="122" t="s">
        <v>216</v>
      </c>
      <c r="I17" s="122" t="s">
        <v>216</v>
      </c>
      <c r="J17" s="122" t="s">
        <v>216</v>
      </c>
      <c r="K17" s="484"/>
      <c r="L17" s="513"/>
      <c r="M17" s="561"/>
    </row>
    <row r="18" spans="2:13" s="190" customFormat="1" ht="19.95" customHeight="1">
      <c r="B18" s="541"/>
      <c r="C18" s="481"/>
      <c r="D18" s="473" t="s">
        <v>225</v>
      </c>
      <c r="E18" s="283" t="s">
        <v>228</v>
      </c>
      <c r="F18" s="261" t="s">
        <v>229</v>
      </c>
      <c r="G18" s="72">
        <v>0</v>
      </c>
      <c r="H18" s="72">
        <v>0</v>
      </c>
      <c r="I18" s="72">
        <v>0</v>
      </c>
      <c r="J18" s="72">
        <v>0</v>
      </c>
      <c r="K18" s="484"/>
      <c r="L18" s="513"/>
      <c r="M18" s="561"/>
    </row>
    <row r="19" spans="2:13" s="190" customFormat="1" ht="19.95" customHeight="1">
      <c r="B19" s="541"/>
      <c r="C19" s="481"/>
      <c r="D19" s="473"/>
      <c r="E19" s="283" t="s">
        <v>230</v>
      </c>
      <c r="F19" s="261" t="s">
        <v>1</v>
      </c>
      <c r="G19" s="122" t="s">
        <v>216</v>
      </c>
      <c r="H19" s="122" t="s">
        <v>216</v>
      </c>
      <c r="I19" s="122" t="s">
        <v>216</v>
      </c>
      <c r="J19" s="122" t="s">
        <v>216</v>
      </c>
      <c r="K19" s="484"/>
      <c r="L19" s="513"/>
      <c r="M19" s="561"/>
    </row>
    <row r="20" spans="2:13" s="190" customFormat="1" ht="19.95" customHeight="1">
      <c r="B20" s="541"/>
      <c r="C20" s="481"/>
      <c r="D20" s="473" t="s">
        <v>226</v>
      </c>
      <c r="E20" s="283" t="s">
        <v>228</v>
      </c>
      <c r="F20" s="261" t="s">
        <v>229</v>
      </c>
      <c r="G20" s="121">
        <v>3776</v>
      </c>
      <c r="H20" s="72">
        <v>2447</v>
      </c>
      <c r="I20" s="72">
        <v>2966</v>
      </c>
      <c r="J20" s="72">
        <v>4160</v>
      </c>
      <c r="K20" s="484"/>
      <c r="L20" s="513"/>
      <c r="M20" s="561"/>
    </row>
    <row r="21" spans="2:13" s="190" customFormat="1" ht="19.95" customHeight="1">
      <c r="B21" s="541"/>
      <c r="C21" s="481"/>
      <c r="D21" s="493"/>
      <c r="E21" s="284" t="s">
        <v>230</v>
      </c>
      <c r="F21" s="261" t="s">
        <v>1</v>
      </c>
      <c r="G21" s="121">
        <v>100</v>
      </c>
      <c r="H21" s="72">
        <v>100</v>
      </c>
      <c r="I21" s="72">
        <v>100</v>
      </c>
      <c r="J21" s="72">
        <v>100</v>
      </c>
      <c r="K21" s="510"/>
      <c r="L21" s="514"/>
      <c r="M21" s="562"/>
    </row>
    <row r="22" spans="2:13" s="190" customFormat="1" ht="49.95" customHeight="1">
      <c r="B22" s="541"/>
      <c r="C22" s="481"/>
      <c r="D22" s="328" t="s">
        <v>5</v>
      </c>
      <c r="E22" s="123" t="s">
        <v>231</v>
      </c>
      <c r="F22" s="124" t="s">
        <v>229</v>
      </c>
      <c r="G22" s="125">
        <f>G10+G12+G14+G16+G18+G20</f>
        <v>225273</v>
      </c>
      <c r="H22" s="125">
        <f>H10+H12+H14+H16+H18+H20</f>
        <v>177675</v>
      </c>
      <c r="I22" s="125">
        <f>I10+I12+I14+I16+I18+I20</f>
        <v>223023</v>
      </c>
      <c r="J22" s="125">
        <v>199743</v>
      </c>
      <c r="K22" s="126" t="s">
        <v>19</v>
      </c>
      <c r="L22" s="330"/>
      <c r="M22" s="389"/>
    </row>
    <row r="23" spans="2:13" s="190" customFormat="1" ht="49.95" customHeight="1" thickBot="1">
      <c r="B23" s="541"/>
      <c r="C23" s="486"/>
      <c r="D23" s="329" t="s">
        <v>227</v>
      </c>
      <c r="E23" s="127" t="s">
        <v>232</v>
      </c>
      <c r="F23" s="128" t="s">
        <v>1</v>
      </c>
      <c r="G23" s="129">
        <v>88</v>
      </c>
      <c r="H23" s="130">
        <v>86</v>
      </c>
      <c r="I23" s="130">
        <v>84</v>
      </c>
      <c r="J23" s="130">
        <v>91</v>
      </c>
      <c r="K23" s="127" t="s">
        <v>19</v>
      </c>
      <c r="L23" s="331" t="s">
        <v>233</v>
      </c>
      <c r="M23" s="390"/>
    </row>
    <row r="24" spans="2:13" s="190" customFormat="1" ht="49.95" customHeight="1" thickBot="1">
      <c r="B24" s="542"/>
      <c r="C24" s="297" t="s">
        <v>705</v>
      </c>
      <c r="D24" s="163" t="s">
        <v>706</v>
      </c>
      <c r="E24" s="119" t="s">
        <v>707</v>
      </c>
      <c r="F24" s="131" t="s">
        <v>229</v>
      </c>
      <c r="G24" s="132">
        <v>0</v>
      </c>
      <c r="H24" s="87">
        <v>0</v>
      </c>
      <c r="I24" s="87">
        <v>0</v>
      </c>
      <c r="J24" s="87">
        <v>0</v>
      </c>
      <c r="K24" s="119" t="s">
        <v>48</v>
      </c>
      <c r="L24" s="332"/>
      <c r="M24" s="391"/>
    </row>
    <row r="25" spans="2:13" s="190" customFormat="1" ht="49.95" customHeight="1">
      <c r="B25" s="504" t="s">
        <v>235</v>
      </c>
      <c r="C25" s="485" t="s">
        <v>236</v>
      </c>
      <c r="D25" s="182" t="s">
        <v>237</v>
      </c>
      <c r="E25" s="410" t="s">
        <v>238</v>
      </c>
      <c r="F25" s="411" t="s">
        <v>229</v>
      </c>
      <c r="G25" s="133">
        <v>86927</v>
      </c>
      <c r="H25" s="133">
        <v>87800</v>
      </c>
      <c r="I25" s="133">
        <v>85592</v>
      </c>
      <c r="J25" s="133">
        <v>83285</v>
      </c>
      <c r="K25" s="134" t="s">
        <v>12</v>
      </c>
      <c r="L25" s="412" t="s">
        <v>262</v>
      </c>
      <c r="M25" s="392"/>
    </row>
    <row r="26" spans="2:13" s="190" customFormat="1" ht="19.95" customHeight="1">
      <c r="B26" s="505"/>
      <c r="C26" s="481"/>
      <c r="D26" s="460" t="s">
        <v>239</v>
      </c>
      <c r="E26" s="523" t="s">
        <v>240</v>
      </c>
      <c r="F26" s="135" t="s">
        <v>229</v>
      </c>
      <c r="G26" s="136">
        <v>3448</v>
      </c>
      <c r="H26" s="136">
        <v>3406</v>
      </c>
      <c r="I26" s="136">
        <v>3341</v>
      </c>
      <c r="J26" s="136">
        <v>3179</v>
      </c>
      <c r="K26" s="460" t="s">
        <v>12</v>
      </c>
      <c r="L26" s="512" t="s">
        <v>262</v>
      </c>
      <c r="M26" s="560"/>
    </row>
    <row r="27" spans="2:13" s="190" customFormat="1" ht="19.95" customHeight="1">
      <c r="B27" s="505"/>
      <c r="C27" s="481"/>
      <c r="D27" s="484"/>
      <c r="E27" s="524"/>
      <c r="F27" s="245" t="s">
        <v>1</v>
      </c>
      <c r="G27" s="137">
        <v>3.97</v>
      </c>
      <c r="H27" s="137">
        <v>3.88</v>
      </c>
      <c r="I27" s="137">
        <f>I26/$I$25*100</f>
        <v>3.9034021871202915</v>
      </c>
      <c r="J27" s="137">
        <v>3.82</v>
      </c>
      <c r="K27" s="484"/>
      <c r="L27" s="513"/>
      <c r="M27" s="561"/>
    </row>
    <row r="28" spans="2:13" s="190" customFormat="1" ht="19.95" customHeight="1">
      <c r="B28" s="505"/>
      <c r="C28" s="481"/>
      <c r="D28" s="484"/>
      <c r="E28" s="521" t="s">
        <v>241</v>
      </c>
      <c r="F28" s="261" t="s">
        <v>229</v>
      </c>
      <c r="G28" s="121">
        <v>12358</v>
      </c>
      <c r="H28" s="121">
        <v>12258</v>
      </c>
      <c r="I28" s="121">
        <v>12307</v>
      </c>
      <c r="J28" s="121">
        <v>12067</v>
      </c>
      <c r="K28" s="484"/>
      <c r="L28" s="513"/>
      <c r="M28" s="561"/>
    </row>
    <row r="29" spans="2:13" s="190" customFormat="1" ht="19.95" customHeight="1">
      <c r="B29" s="505"/>
      <c r="C29" s="481"/>
      <c r="D29" s="484"/>
      <c r="E29" s="524"/>
      <c r="F29" s="261" t="s">
        <v>1</v>
      </c>
      <c r="G29" s="138">
        <v>14.22</v>
      </c>
      <c r="H29" s="137">
        <v>13.96</v>
      </c>
      <c r="I29" s="137">
        <f>I28/$I$25*100</f>
        <v>14.378680250490699</v>
      </c>
      <c r="J29" s="137">
        <v>14.49</v>
      </c>
      <c r="K29" s="484"/>
      <c r="L29" s="513"/>
      <c r="M29" s="561"/>
    </row>
    <row r="30" spans="2:13" s="190" customFormat="1" ht="19.95" customHeight="1">
      <c r="B30" s="505"/>
      <c r="C30" s="481"/>
      <c r="D30" s="484"/>
      <c r="E30" s="521" t="s">
        <v>242</v>
      </c>
      <c r="F30" s="261" t="s">
        <v>229</v>
      </c>
      <c r="G30" s="121">
        <v>4407</v>
      </c>
      <c r="H30" s="121">
        <v>4421</v>
      </c>
      <c r="I30" s="121">
        <v>4365</v>
      </c>
      <c r="J30" s="121">
        <v>4089</v>
      </c>
      <c r="K30" s="484"/>
      <c r="L30" s="513"/>
      <c r="M30" s="561"/>
    </row>
    <row r="31" spans="2:13" s="190" customFormat="1" ht="19.95" customHeight="1">
      <c r="B31" s="505"/>
      <c r="C31" s="481"/>
      <c r="D31" s="484"/>
      <c r="E31" s="524"/>
      <c r="F31" s="261" t="s">
        <v>1</v>
      </c>
      <c r="G31" s="138">
        <v>5.07</v>
      </c>
      <c r="H31" s="137">
        <v>5.04</v>
      </c>
      <c r="I31" s="137">
        <f>I30/$I$25*100</f>
        <v>5.0997756799700911</v>
      </c>
      <c r="J31" s="137">
        <v>4.91</v>
      </c>
      <c r="K31" s="484"/>
      <c r="L31" s="513"/>
      <c r="M31" s="561"/>
    </row>
    <row r="32" spans="2:13" s="190" customFormat="1" ht="19.95" customHeight="1">
      <c r="B32" s="505"/>
      <c r="C32" s="481"/>
      <c r="D32" s="484"/>
      <c r="E32" s="521" t="s">
        <v>243</v>
      </c>
      <c r="F32" s="261" t="s">
        <v>229</v>
      </c>
      <c r="G32" s="121">
        <v>55703</v>
      </c>
      <c r="H32" s="121">
        <v>56794</v>
      </c>
      <c r="I32" s="121">
        <v>54995</v>
      </c>
      <c r="J32" s="121">
        <v>54046</v>
      </c>
      <c r="K32" s="484"/>
      <c r="L32" s="513"/>
      <c r="M32" s="561"/>
    </row>
    <row r="33" spans="2:13" s="190" customFormat="1" ht="19.95" customHeight="1">
      <c r="B33" s="505"/>
      <c r="C33" s="481"/>
      <c r="D33" s="484"/>
      <c r="E33" s="524"/>
      <c r="F33" s="139" t="s">
        <v>1</v>
      </c>
      <c r="G33" s="138">
        <v>64.08</v>
      </c>
      <c r="H33" s="137">
        <v>64.69</v>
      </c>
      <c r="I33" s="137">
        <f>I32/$I$25*100</f>
        <v>64.252500233666694</v>
      </c>
      <c r="J33" s="137">
        <v>64.89</v>
      </c>
      <c r="K33" s="484"/>
      <c r="L33" s="513"/>
      <c r="M33" s="561"/>
    </row>
    <row r="34" spans="2:13" s="190" customFormat="1" ht="19.95" customHeight="1">
      <c r="B34" s="505"/>
      <c r="C34" s="481"/>
      <c r="D34" s="484"/>
      <c r="E34" s="521" t="s">
        <v>244</v>
      </c>
      <c r="F34" s="261" t="s">
        <v>229</v>
      </c>
      <c r="G34" s="121">
        <v>11011</v>
      </c>
      <c r="H34" s="121">
        <v>10921</v>
      </c>
      <c r="I34" s="121">
        <v>10584</v>
      </c>
      <c r="J34" s="121">
        <v>9904</v>
      </c>
      <c r="K34" s="484"/>
      <c r="L34" s="513"/>
      <c r="M34" s="561"/>
    </row>
    <row r="35" spans="2:13" s="190" customFormat="1" ht="19.95" customHeight="1">
      <c r="B35" s="505"/>
      <c r="C35" s="481"/>
      <c r="D35" s="510"/>
      <c r="E35" s="522"/>
      <c r="F35" s="141" t="s">
        <v>1</v>
      </c>
      <c r="G35" s="142">
        <v>12.67</v>
      </c>
      <c r="H35" s="143">
        <v>12.44</v>
      </c>
      <c r="I35" s="143">
        <f>I34/$I$25*100</f>
        <v>12.36564164875222</v>
      </c>
      <c r="J35" s="143">
        <v>11.89</v>
      </c>
      <c r="K35" s="510"/>
      <c r="L35" s="514"/>
      <c r="M35" s="562"/>
    </row>
    <row r="36" spans="2:13" s="190" customFormat="1" ht="19.95" customHeight="1">
      <c r="B36" s="505"/>
      <c r="C36" s="481"/>
      <c r="D36" s="460" t="s">
        <v>245</v>
      </c>
      <c r="E36" s="523" t="s">
        <v>240</v>
      </c>
      <c r="F36" s="135" t="s">
        <v>229</v>
      </c>
      <c r="G36" s="144">
        <v>2553</v>
      </c>
      <c r="H36" s="144">
        <v>2584</v>
      </c>
      <c r="I36" s="144">
        <v>2512</v>
      </c>
      <c r="J36" s="144">
        <v>2495</v>
      </c>
      <c r="K36" s="460" t="s">
        <v>12</v>
      </c>
      <c r="L36" s="512" t="s">
        <v>264</v>
      </c>
      <c r="M36" s="560"/>
    </row>
    <row r="37" spans="2:13" s="190" customFormat="1" ht="19.95" customHeight="1">
      <c r="B37" s="505"/>
      <c r="C37" s="481"/>
      <c r="D37" s="484"/>
      <c r="E37" s="524"/>
      <c r="F37" s="245" t="s">
        <v>1</v>
      </c>
      <c r="G37" s="137">
        <v>2.94</v>
      </c>
      <c r="H37" s="137">
        <v>2.94</v>
      </c>
      <c r="I37" s="137">
        <f>I36/$I$25*100</f>
        <v>2.9348537246471631</v>
      </c>
      <c r="J37" s="137">
        <v>3</v>
      </c>
      <c r="K37" s="484"/>
      <c r="L37" s="513"/>
      <c r="M37" s="561"/>
    </row>
    <row r="38" spans="2:13" s="190" customFormat="1" ht="19.95" customHeight="1">
      <c r="B38" s="505"/>
      <c r="C38" s="481"/>
      <c r="D38" s="484"/>
      <c r="E38" s="521" t="s">
        <v>241</v>
      </c>
      <c r="F38" s="261" t="s">
        <v>229</v>
      </c>
      <c r="G38" s="144">
        <v>9401</v>
      </c>
      <c r="H38" s="144">
        <v>9634</v>
      </c>
      <c r="I38" s="144">
        <v>9683</v>
      </c>
      <c r="J38" s="144">
        <v>9786</v>
      </c>
      <c r="K38" s="484"/>
      <c r="L38" s="513"/>
      <c r="M38" s="561"/>
    </row>
    <row r="39" spans="2:13" s="190" customFormat="1" ht="19.95" customHeight="1">
      <c r="B39" s="505"/>
      <c r="C39" s="481"/>
      <c r="D39" s="484"/>
      <c r="E39" s="524"/>
      <c r="F39" s="261" t="s">
        <v>1</v>
      </c>
      <c r="G39" s="137">
        <v>10.81</v>
      </c>
      <c r="H39" s="137">
        <v>10.97</v>
      </c>
      <c r="I39" s="137">
        <f>I38/$I$25*100</f>
        <v>11.312973175063091</v>
      </c>
      <c r="J39" s="137">
        <v>11.75</v>
      </c>
      <c r="K39" s="484"/>
      <c r="L39" s="513"/>
      <c r="M39" s="561"/>
    </row>
    <row r="40" spans="2:13" s="190" customFormat="1" ht="19.95" customHeight="1">
      <c r="B40" s="505"/>
      <c r="C40" s="481"/>
      <c r="D40" s="484"/>
      <c r="E40" s="521" t="s">
        <v>242</v>
      </c>
      <c r="F40" s="261" t="s">
        <v>229</v>
      </c>
      <c r="G40" s="144">
        <v>3508</v>
      </c>
      <c r="H40" s="144">
        <v>3628</v>
      </c>
      <c r="I40" s="144">
        <v>3575</v>
      </c>
      <c r="J40" s="144">
        <v>3445</v>
      </c>
      <c r="K40" s="484"/>
      <c r="L40" s="513"/>
      <c r="M40" s="561"/>
    </row>
    <row r="41" spans="2:13" s="190" customFormat="1" ht="19.95" customHeight="1">
      <c r="B41" s="505"/>
      <c r="C41" s="481"/>
      <c r="D41" s="484"/>
      <c r="E41" s="524"/>
      <c r="F41" s="261" t="s">
        <v>1</v>
      </c>
      <c r="G41" s="137">
        <v>4.04</v>
      </c>
      <c r="H41" s="137">
        <v>4.13</v>
      </c>
      <c r="I41" s="137">
        <f>I40/$I$25*100</f>
        <v>4.1767922235722965</v>
      </c>
      <c r="J41" s="137">
        <v>4.1399999999999997</v>
      </c>
      <c r="K41" s="484"/>
      <c r="L41" s="513"/>
      <c r="M41" s="561"/>
    </row>
    <row r="42" spans="2:13" s="190" customFormat="1" ht="19.95" customHeight="1">
      <c r="B42" s="505"/>
      <c r="C42" s="481"/>
      <c r="D42" s="484"/>
      <c r="E42" s="521" t="s">
        <v>243</v>
      </c>
      <c r="F42" s="261" t="s">
        <v>229</v>
      </c>
      <c r="G42" s="144">
        <v>46971</v>
      </c>
      <c r="H42" s="144">
        <v>48715</v>
      </c>
      <c r="I42" s="144">
        <v>47776</v>
      </c>
      <c r="J42" s="144">
        <v>48411</v>
      </c>
      <c r="K42" s="484"/>
      <c r="L42" s="513"/>
      <c r="M42" s="561"/>
    </row>
    <row r="43" spans="2:13" s="190" customFormat="1" ht="19.95" customHeight="1">
      <c r="B43" s="505"/>
      <c r="C43" s="481"/>
      <c r="D43" s="484"/>
      <c r="E43" s="524"/>
      <c r="F43" s="139" t="s">
        <v>1</v>
      </c>
      <c r="G43" s="137">
        <v>54.03</v>
      </c>
      <c r="H43" s="137">
        <v>55.48</v>
      </c>
      <c r="I43" s="137">
        <f>I42/$I$25*100</f>
        <v>55.81830077577343</v>
      </c>
      <c r="J43" s="137">
        <v>58.13</v>
      </c>
      <c r="K43" s="484"/>
      <c r="L43" s="513"/>
      <c r="M43" s="561"/>
    </row>
    <row r="44" spans="2:13" s="190" customFormat="1" ht="19.95" customHeight="1">
      <c r="B44" s="505"/>
      <c r="C44" s="481"/>
      <c r="D44" s="484"/>
      <c r="E44" s="521" t="s">
        <v>244</v>
      </c>
      <c r="F44" s="261" t="s">
        <v>229</v>
      </c>
      <c r="G44" s="144">
        <v>9038</v>
      </c>
      <c r="H44" s="144">
        <v>9038</v>
      </c>
      <c r="I44" s="144">
        <v>8831</v>
      </c>
      <c r="J44" s="144">
        <v>8521</v>
      </c>
      <c r="K44" s="484"/>
      <c r="L44" s="513"/>
      <c r="M44" s="561"/>
    </row>
    <row r="45" spans="2:13" s="190" customFormat="1" ht="19.95" customHeight="1">
      <c r="B45" s="505"/>
      <c r="C45" s="481"/>
      <c r="D45" s="484"/>
      <c r="E45" s="522"/>
      <c r="F45" s="141" t="s">
        <v>1</v>
      </c>
      <c r="G45" s="142">
        <v>10.4</v>
      </c>
      <c r="H45" s="143">
        <v>10.29</v>
      </c>
      <c r="I45" s="143">
        <f>I44/$I$25*100</f>
        <v>10.317553042340407</v>
      </c>
      <c r="J45" s="143">
        <v>10.23</v>
      </c>
      <c r="K45" s="510"/>
      <c r="L45" s="514"/>
      <c r="M45" s="562"/>
    </row>
    <row r="46" spans="2:13" s="190" customFormat="1" ht="19.95" customHeight="1">
      <c r="B46" s="505"/>
      <c r="C46" s="481"/>
      <c r="D46" s="460" t="s">
        <v>246</v>
      </c>
      <c r="E46" s="523" t="s">
        <v>240</v>
      </c>
      <c r="F46" s="135" t="s">
        <v>229</v>
      </c>
      <c r="G46" s="136">
        <v>895</v>
      </c>
      <c r="H46" s="136">
        <v>822</v>
      </c>
      <c r="I46" s="144">
        <v>829</v>
      </c>
      <c r="J46" s="144">
        <v>684</v>
      </c>
      <c r="K46" s="460" t="s">
        <v>12</v>
      </c>
      <c r="L46" s="512" t="s">
        <v>263</v>
      </c>
      <c r="M46" s="560"/>
    </row>
    <row r="47" spans="2:13" s="190" customFormat="1" ht="19.95" customHeight="1">
      <c r="B47" s="505"/>
      <c r="C47" s="481"/>
      <c r="D47" s="484"/>
      <c r="E47" s="524"/>
      <c r="F47" s="245" t="s">
        <v>1</v>
      </c>
      <c r="G47" s="137">
        <v>1.03</v>
      </c>
      <c r="H47" s="137">
        <v>0.94</v>
      </c>
      <c r="I47" s="137">
        <f>I46/$I$25*100</f>
        <v>0.96854846247312831</v>
      </c>
      <c r="J47" s="137">
        <v>0.82</v>
      </c>
      <c r="K47" s="484"/>
      <c r="L47" s="513"/>
      <c r="M47" s="561"/>
    </row>
    <row r="48" spans="2:13" s="190" customFormat="1" ht="19.95" customHeight="1">
      <c r="B48" s="505"/>
      <c r="C48" s="481"/>
      <c r="D48" s="484"/>
      <c r="E48" s="521" t="s">
        <v>241</v>
      </c>
      <c r="F48" s="261" t="s">
        <v>229</v>
      </c>
      <c r="G48" s="144">
        <v>2957</v>
      </c>
      <c r="H48" s="144">
        <v>2624</v>
      </c>
      <c r="I48" s="144">
        <v>2624</v>
      </c>
      <c r="J48" s="144">
        <v>2281</v>
      </c>
      <c r="K48" s="484"/>
      <c r="L48" s="513"/>
      <c r="M48" s="561"/>
    </row>
    <row r="49" spans="2:13" s="190" customFormat="1" ht="19.95" customHeight="1">
      <c r="B49" s="505"/>
      <c r="C49" s="481"/>
      <c r="D49" s="484"/>
      <c r="E49" s="524"/>
      <c r="F49" s="261" t="s">
        <v>1</v>
      </c>
      <c r="G49" s="138">
        <v>3.4</v>
      </c>
      <c r="H49" s="137">
        <v>2.99</v>
      </c>
      <c r="I49" s="137">
        <f>I48/$I$25*100</f>
        <v>3.0657070754276101</v>
      </c>
      <c r="J49" s="144">
        <v>2.74</v>
      </c>
      <c r="K49" s="484"/>
      <c r="L49" s="513"/>
      <c r="M49" s="561"/>
    </row>
    <row r="50" spans="2:13" s="190" customFormat="1" ht="19.95" customHeight="1">
      <c r="B50" s="505"/>
      <c r="C50" s="481"/>
      <c r="D50" s="484"/>
      <c r="E50" s="521" t="s">
        <v>242</v>
      </c>
      <c r="F50" s="261" t="s">
        <v>229</v>
      </c>
      <c r="G50" s="121">
        <v>899</v>
      </c>
      <c r="H50" s="121">
        <v>793</v>
      </c>
      <c r="I50" s="144">
        <v>790</v>
      </c>
      <c r="J50" s="144">
        <v>644</v>
      </c>
      <c r="K50" s="484"/>
      <c r="L50" s="513"/>
      <c r="M50" s="561"/>
    </row>
    <row r="51" spans="2:13" s="190" customFormat="1" ht="19.95" customHeight="1">
      <c r="B51" s="505"/>
      <c r="C51" s="481"/>
      <c r="D51" s="484"/>
      <c r="E51" s="524"/>
      <c r="F51" s="261" t="s">
        <v>1</v>
      </c>
      <c r="G51" s="138">
        <v>1.03</v>
      </c>
      <c r="H51" s="137">
        <v>0.9</v>
      </c>
      <c r="I51" s="137">
        <f>I50/$I$25*100</f>
        <v>0.92298345639779422</v>
      </c>
      <c r="J51" s="137">
        <v>0.77</v>
      </c>
      <c r="K51" s="484"/>
      <c r="L51" s="513"/>
      <c r="M51" s="561"/>
    </row>
    <row r="52" spans="2:13" s="190" customFormat="1" ht="19.95" customHeight="1">
      <c r="B52" s="505"/>
      <c r="C52" s="481"/>
      <c r="D52" s="484"/>
      <c r="E52" s="521" t="s">
        <v>243</v>
      </c>
      <c r="F52" s="261" t="s">
        <v>229</v>
      </c>
      <c r="G52" s="144">
        <v>8732</v>
      </c>
      <c r="H52" s="144">
        <v>8079</v>
      </c>
      <c r="I52" s="144">
        <v>7219</v>
      </c>
      <c r="J52" s="144">
        <v>5635</v>
      </c>
      <c r="K52" s="484"/>
      <c r="L52" s="513"/>
      <c r="M52" s="561"/>
    </row>
    <row r="53" spans="2:13" s="190" customFormat="1" ht="19.95" customHeight="1">
      <c r="B53" s="505"/>
      <c r="C53" s="481"/>
      <c r="D53" s="484"/>
      <c r="E53" s="524"/>
      <c r="F53" s="139" t="s">
        <v>1</v>
      </c>
      <c r="G53" s="138">
        <v>10.050000000000001</v>
      </c>
      <c r="H53" s="137">
        <v>9.1999999999999993</v>
      </c>
      <c r="I53" s="137">
        <f>I52/$I$25*100</f>
        <v>8.4341994578932606</v>
      </c>
      <c r="J53" s="137">
        <v>6.77</v>
      </c>
      <c r="K53" s="484"/>
      <c r="L53" s="513"/>
      <c r="M53" s="561"/>
    </row>
    <row r="54" spans="2:13" s="190" customFormat="1" ht="19.95" customHeight="1">
      <c r="B54" s="505"/>
      <c r="C54" s="481"/>
      <c r="D54" s="484"/>
      <c r="E54" s="521" t="s">
        <v>244</v>
      </c>
      <c r="F54" s="261" t="s">
        <v>229</v>
      </c>
      <c r="G54" s="144">
        <v>1973</v>
      </c>
      <c r="H54" s="144">
        <v>1883</v>
      </c>
      <c r="I54" s="144">
        <v>1753</v>
      </c>
      <c r="J54" s="144">
        <v>1383</v>
      </c>
      <c r="K54" s="484"/>
      <c r="L54" s="513"/>
      <c r="M54" s="561"/>
    </row>
    <row r="55" spans="2:13" s="190" customFormat="1" ht="19.95" customHeight="1">
      <c r="B55" s="505"/>
      <c r="C55" s="481"/>
      <c r="D55" s="484"/>
      <c r="E55" s="522"/>
      <c r="F55" s="141" t="s">
        <v>1</v>
      </c>
      <c r="G55" s="142">
        <v>2.27</v>
      </c>
      <c r="H55" s="143">
        <v>2.14</v>
      </c>
      <c r="I55" s="143">
        <f>I54/$I$25*100</f>
        <v>2.048088606411814</v>
      </c>
      <c r="J55" s="143">
        <v>1.66</v>
      </c>
      <c r="K55" s="510"/>
      <c r="L55" s="514"/>
      <c r="M55" s="562"/>
    </row>
    <row r="56" spans="2:13" s="190" customFormat="1" ht="19.95" customHeight="1">
      <c r="B56" s="505"/>
      <c r="C56" s="481"/>
      <c r="D56" s="460" t="s">
        <v>247</v>
      </c>
      <c r="E56" s="523" t="s">
        <v>240</v>
      </c>
      <c r="F56" s="135" t="s">
        <v>229</v>
      </c>
      <c r="G56" s="144">
        <v>3421</v>
      </c>
      <c r="H56" s="144">
        <v>3389</v>
      </c>
      <c r="I56" s="144">
        <v>3327</v>
      </c>
      <c r="J56" s="144">
        <v>3156</v>
      </c>
      <c r="K56" s="460" t="s">
        <v>12</v>
      </c>
      <c r="L56" s="512" t="s">
        <v>260</v>
      </c>
      <c r="M56" s="560"/>
    </row>
    <row r="57" spans="2:13" s="190" customFormat="1" ht="19.95" customHeight="1">
      <c r="B57" s="505"/>
      <c r="C57" s="481"/>
      <c r="D57" s="484"/>
      <c r="E57" s="524"/>
      <c r="F57" s="245" t="s">
        <v>1</v>
      </c>
      <c r="G57" s="137">
        <v>3.94</v>
      </c>
      <c r="H57" s="137">
        <v>3.86</v>
      </c>
      <c r="I57" s="137">
        <f>I56/$I$25*100</f>
        <v>3.8870455182727359</v>
      </c>
      <c r="J57" s="137">
        <v>3.79</v>
      </c>
      <c r="K57" s="484"/>
      <c r="L57" s="513"/>
      <c r="M57" s="561"/>
    </row>
    <row r="58" spans="2:13" s="190" customFormat="1" ht="19.95" customHeight="1">
      <c r="B58" s="505"/>
      <c r="C58" s="481"/>
      <c r="D58" s="484"/>
      <c r="E58" s="521" t="s">
        <v>241</v>
      </c>
      <c r="F58" s="261" t="s">
        <v>229</v>
      </c>
      <c r="G58" s="144">
        <v>12229</v>
      </c>
      <c r="H58" s="144">
        <v>12229</v>
      </c>
      <c r="I58" s="144">
        <v>12219</v>
      </c>
      <c r="J58" s="144">
        <v>11976</v>
      </c>
      <c r="K58" s="484"/>
      <c r="L58" s="513"/>
      <c r="M58" s="561"/>
    </row>
    <row r="59" spans="2:13" s="190" customFormat="1" ht="19.95" customHeight="1">
      <c r="B59" s="505"/>
      <c r="C59" s="481"/>
      <c r="D59" s="484"/>
      <c r="E59" s="524"/>
      <c r="F59" s="261" t="s">
        <v>1</v>
      </c>
      <c r="G59" s="138">
        <v>14.07</v>
      </c>
      <c r="H59" s="138">
        <v>13.93</v>
      </c>
      <c r="I59" s="137">
        <f>I58/$I$25*100</f>
        <v>14.27586690344892</v>
      </c>
      <c r="J59" s="138">
        <v>14.38</v>
      </c>
      <c r="K59" s="484"/>
      <c r="L59" s="513"/>
      <c r="M59" s="561"/>
    </row>
    <row r="60" spans="2:13" s="190" customFormat="1" ht="19.95" customHeight="1">
      <c r="B60" s="505"/>
      <c r="C60" s="481"/>
      <c r="D60" s="484"/>
      <c r="E60" s="521" t="s">
        <v>242</v>
      </c>
      <c r="F60" s="261" t="s">
        <v>229</v>
      </c>
      <c r="G60" s="144">
        <v>4389</v>
      </c>
      <c r="H60" s="144">
        <v>4413</v>
      </c>
      <c r="I60" s="144">
        <v>4349</v>
      </c>
      <c r="J60" s="144">
        <v>4067</v>
      </c>
      <c r="K60" s="484"/>
      <c r="L60" s="513"/>
      <c r="M60" s="561"/>
    </row>
    <row r="61" spans="2:13" s="190" customFormat="1" ht="19.95" customHeight="1">
      <c r="B61" s="505"/>
      <c r="C61" s="481"/>
      <c r="D61" s="484"/>
      <c r="E61" s="524"/>
      <c r="F61" s="261" t="s">
        <v>1</v>
      </c>
      <c r="G61" s="138">
        <v>5.05</v>
      </c>
      <c r="H61" s="137">
        <v>5.03</v>
      </c>
      <c r="I61" s="137">
        <f>I60/$I$25*100</f>
        <v>5.0810823441443125</v>
      </c>
      <c r="J61" s="137">
        <v>4.88</v>
      </c>
      <c r="K61" s="484"/>
      <c r="L61" s="513"/>
      <c r="M61" s="561"/>
    </row>
    <row r="62" spans="2:13" s="190" customFormat="1" ht="19.95" customHeight="1">
      <c r="B62" s="505"/>
      <c r="C62" s="481"/>
      <c r="D62" s="484"/>
      <c r="E62" s="521" t="s">
        <v>243</v>
      </c>
      <c r="F62" s="261" t="s">
        <v>229</v>
      </c>
      <c r="G62" s="144">
        <v>55203</v>
      </c>
      <c r="H62" s="144">
        <v>56481</v>
      </c>
      <c r="I62" s="144">
        <v>54708</v>
      </c>
      <c r="J62" s="144">
        <v>53706</v>
      </c>
      <c r="K62" s="484"/>
      <c r="L62" s="513"/>
      <c r="M62" s="561"/>
    </row>
    <row r="63" spans="2:13" s="190" customFormat="1" ht="19.95" customHeight="1">
      <c r="B63" s="505"/>
      <c r="C63" s="481"/>
      <c r="D63" s="484"/>
      <c r="E63" s="524"/>
      <c r="F63" s="139" t="s">
        <v>1</v>
      </c>
      <c r="G63" s="138">
        <v>63.51</v>
      </c>
      <c r="H63" s="137">
        <v>64.33</v>
      </c>
      <c r="I63" s="137">
        <f>I62/$I$25*100</f>
        <v>63.917188522291802</v>
      </c>
      <c r="J63" s="137">
        <v>64.48</v>
      </c>
      <c r="K63" s="484"/>
      <c r="L63" s="513"/>
      <c r="M63" s="561"/>
    </row>
    <row r="64" spans="2:13" s="190" customFormat="1" ht="19.95" customHeight="1">
      <c r="B64" s="505"/>
      <c r="C64" s="481"/>
      <c r="D64" s="484"/>
      <c r="E64" s="521" t="s">
        <v>244</v>
      </c>
      <c r="F64" s="261" t="s">
        <v>229</v>
      </c>
      <c r="G64" s="144">
        <v>10934</v>
      </c>
      <c r="H64" s="144">
        <v>10895</v>
      </c>
      <c r="I64" s="144">
        <v>10557</v>
      </c>
      <c r="J64" s="144">
        <v>9855</v>
      </c>
      <c r="K64" s="484"/>
      <c r="L64" s="513"/>
      <c r="M64" s="561"/>
    </row>
    <row r="65" spans="2:13" s="190" customFormat="1" ht="19.95" customHeight="1">
      <c r="B65" s="505"/>
      <c r="C65" s="481"/>
      <c r="D65" s="484"/>
      <c r="E65" s="522"/>
      <c r="F65" s="141" t="s">
        <v>1</v>
      </c>
      <c r="G65" s="142">
        <v>12.58</v>
      </c>
      <c r="H65" s="143">
        <v>12.41</v>
      </c>
      <c r="I65" s="143">
        <f>I64/$I$25*100</f>
        <v>12.33409664454622</v>
      </c>
      <c r="J65" s="143">
        <v>11.83</v>
      </c>
      <c r="K65" s="510"/>
      <c r="L65" s="514"/>
      <c r="M65" s="562"/>
    </row>
    <row r="66" spans="2:13" s="190" customFormat="1" ht="19.95" customHeight="1">
      <c r="B66" s="505"/>
      <c r="C66" s="481"/>
      <c r="D66" s="460" t="s">
        <v>248</v>
      </c>
      <c r="E66" s="523" t="s">
        <v>240</v>
      </c>
      <c r="F66" s="135" t="s">
        <v>229</v>
      </c>
      <c r="G66" s="136">
        <v>27</v>
      </c>
      <c r="H66" s="136">
        <v>17</v>
      </c>
      <c r="I66" s="144">
        <v>14</v>
      </c>
      <c r="J66" s="144">
        <v>23</v>
      </c>
      <c r="K66" s="460" t="s">
        <v>12</v>
      </c>
      <c r="L66" s="512" t="s">
        <v>258</v>
      </c>
      <c r="M66" s="560"/>
    </row>
    <row r="67" spans="2:13" s="190" customFormat="1" ht="19.95" customHeight="1">
      <c r="B67" s="505"/>
      <c r="C67" s="481"/>
      <c r="D67" s="484"/>
      <c r="E67" s="524"/>
      <c r="F67" s="245" t="s">
        <v>1</v>
      </c>
      <c r="G67" s="137">
        <v>0.03</v>
      </c>
      <c r="H67" s="137">
        <v>0.02</v>
      </c>
      <c r="I67" s="137">
        <f>I66/$I$25*100</f>
        <v>1.6356668847555846E-2</v>
      </c>
      <c r="J67" s="138">
        <v>0.03</v>
      </c>
      <c r="K67" s="484"/>
      <c r="L67" s="513"/>
      <c r="M67" s="561"/>
    </row>
    <row r="68" spans="2:13" s="190" customFormat="1" ht="19.95" customHeight="1">
      <c r="B68" s="505"/>
      <c r="C68" s="481"/>
      <c r="D68" s="484"/>
      <c r="E68" s="521" t="s">
        <v>241</v>
      </c>
      <c r="F68" s="261" t="s">
        <v>229</v>
      </c>
      <c r="G68" s="144">
        <v>129</v>
      </c>
      <c r="H68" s="144">
        <v>29</v>
      </c>
      <c r="I68" s="144">
        <v>88</v>
      </c>
      <c r="J68" s="144">
        <v>91</v>
      </c>
      <c r="K68" s="484"/>
      <c r="L68" s="513"/>
      <c r="M68" s="561"/>
    </row>
    <row r="69" spans="2:13" s="190" customFormat="1" ht="19.95" customHeight="1">
      <c r="B69" s="505"/>
      <c r="C69" s="481"/>
      <c r="D69" s="484"/>
      <c r="E69" s="524"/>
      <c r="F69" s="261" t="s">
        <v>1</v>
      </c>
      <c r="G69" s="138">
        <v>0.14000000000000001</v>
      </c>
      <c r="H69" s="138">
        <v>0.03</v>
      </c>
      <c r="I69" s="137">
        <f>I68/$I$25*100</f>
        <v>0.10281334704177959</v>
      </c>
      <c r="J69" s="138">
        <v>0.11</v>
      </c>
      <c r="K69" s="484"/>
      <c r="L69" s="513"/>
      <c r="M69" s="561"/>
    </row>
    <row r="70" spans="2:13" s="190" customFormat="1" ht="19.95" customHeight="1">
      <c r="B70" s="505"/>
      <c r="C70" s="481"/>
      <c r="D70" s="484"/>
      <c r="E70" s="521" t="s">
        <v>242</v>
      </c>
      <c r="F70" s="261" t="s">
        <v>229</v>
      </c>
      <c r="G70" s="144">
        <v>18</v>
      </c>
      <c r="H70" s="144">
        <v>8</v>
      </c>
      <c r="I70" s="144">
        <v>16</v>
      </c>
      <c r="J70" s="144">
        <v>22</v>
      </c>
      <c r="K70" s="484"/>
      <c r="L70" s="513"/>
      <c r="M70" s="561"/>
    </row>
    <row r="71" spans="2:13" s="190" customFormat="1" ht="19.95" customHeight="1">
      <c r="B71" s="505"/>
      <c r="C71" s="481"/>
      <c r="D71" s="484"/>
      <c r="E71" s="524"/>
      <c r="F71" s="261" t="s">
        <v>1</v>
      </c>
      <c r="G71" s="138">
        <v>0.02</v>
      </c>
      <c r="H71" s="138">
        <v>0.01</v>
      </c>
      <c r="I71" s="137">
        <f>I70/$I$25*100</f>
        <v>1.8693335825778111E-2</v>
      </c>
      <c r="J71" s="138">
        <v>0.03</v>
      </c>
      <c r="K71" s="484"/>
      <c r="L71" s="513"/>
      <c r="M71" s="561"/>
    </row>
    <row r="72" spans="2:13" s="190" customFormat="1" ht="19.95" customHeight="1">
      <c r="B72" s="505"/>
      <c r="C72" s="481"/>
      <c r="D72" s="484"/>
      <c r="E72" s="521" t="s">
        <v>243</v>
      </c>
      <c r="F72" s="261" t="s">
        <v>229</v>
      </c>
      <c r="G72" s="144">
        <v>500</v>
      </c>
      <c r="H72" s="144">
        <v>313</v>
      </c>
      <c r="I72" s="144">
        <v>287</v>
      </c>
      <c r="J72" s="144">
        <v>340</v>
      </c>
      <c r="K72" s="484"/>
      <c r="L72" s="513"/>
      <c r="M72" s="561"/>
    </row>
    <row r="73" spans="2:13" s="190" customFormat="1" ht="19.95" customHeight="1">
      <c r="B73" s="505"/>
      <c r="C73" s="481"/>
      <c r="D73" s="484"/>
      <c r="E73" s="524"/>
      <c r="F73" s="139" t="s">
        <v>1</v>
      </c>
      <c r="G73" s="138">
        <v>0.56999999999999995</v>
      </c>
      <c r="H73" s="138">
        <v>0.36</v>
      </c>
      <c r="I73" s="137">
        <f>I72/$I$25*100</f>
        <v>0.33531171137489485</v>
      </c>
      <c r="J73" s="138">
        <v>0.41</v>
      </c>
      <c r="K73" s="484"/>
      <c r="L73" s="513"/>
      <c r="M73" s="561"/>
    </row>
    <row r="74" spans="2:13" s="190" customFormat="1" ht="19.95" customHeight="1">
      <c r="B74" s="505"/>
      <c r="C74" s="481"/>
      <c r="D74" s="484"/>
      <c r="E74" s="521" t="s">
        <v>244</v>
      </c>
      <c r="F74" s="261" t="s">
        <v>229</v>
      </c>
      <c r="G74" s="121">
        <v>77</v>
      </c>
      <c r="H74" s="121">
        <v>26</v>
      </c>
      <c r="I74" s="144">
        <v>27</v>
      </c>
      <c r="J74" s="144">
        <v>49</v>
      </c>
      <c r="K74" s="484"/>
      <c r="L74" s="513"/>
      <c r="M74" s="561"/>
    </row>
    <row r="75" spans="2:13" s="190" customFormat="1" ht="19.95" customHeight="1">
      <c r="B75" s="505"/>
      <c r="C75" s="481"/>
      <c r="D75" s="484"/>
      <c r="E75" s="522"/>
      <c r="F75" s="141" t="s">
        <v>1</v>
      </c>
      <c r="G75" s="142">
        <v>0.09</v>
      </c>
      <c r="H75" s="143">
        <v>0.03</v>
      </c>
      <c r="I75" s="137">
        <f>I74/$I$25*100</f>
        <v>3.1545004206000558E-2</v>
      </c>
      <c r="J75" s="143">
        <v>0.06</v>
      </c>
      <c r="K75" s="510"/>
      <c r="L75" s="514"/>
      <c r="M75" s="562"/>
    </row>
    <row r="76" spans="2:13" s="190" customFormat="1" ht="19.95" customHeight="1">
      <c r="B76" s="505"/>
      <c r="C76" s="481"/>
      <c r="D76" s="492" t="s">
        <v>249</v>
      </c>
      <c r="E76" s="462" t="s">
        <v>250</v>
      </c>
      <c r="F76" s="135" t="s">
        <v>229</v>
      </c>
      <c r="G76" s="136">
        <v>44350</v>
      </c>
      <c r="H76" s="136">
        <v>44641</v>
      </c>
      <c r="I76" s="136">
        <v>43634</v>
      </c>
      <c r="J76" s="136">
        <v>41920</v>
      </c>
      <c r="K76" s="460" t="s">
        <v>68</v>
      </c>
      <c r="L76" s="500" t="s">
        <v>262</v>
      </c>
      <c r="M76" s="563"/>
    </row>
    <row r="77" spans="2:13" s="190" customFormat="1" ht="19.95" customHeight="1">
      <c r="B77" s="505"/>
      <c r="C77" s="481"/>
      <c r="D77" s="484"/>
      <c r="E77" s="528"/>
      <c r="F77" s="245" t="s">
        <v>1</v>
      </c>
      <c r="G77" s="137">
        <v>52.02</v>
      </c>
      <c r="H77" s="137">
        <v>50.84</v>
      </c>
      <c r="I77" s="137">
        <f>I76/$I$25*100</f>
        <v>50.979063463875129</v>
      </c>
      <c r="J77" s="137">
        <v>50.33</v>
      </c>
      <c r="K77" s="484"/>
      <c r="L77" s="502"/>
      <c r="M77" s="564"/>
    </row>
    <row r="78" spans="2:13" s="190" customFormat="1" ht="19.95" customHeight="1">
      <c r="B78" s="505"/>
      <c r="C78" s="481"/>
      <c r="D78" s="484"/>
      <c r="E78" s="527" t="s">
        <v>251</v>
      </c>
      <c r="F78" s="261" t="s">
        <v>229</v>
      </c>
      <c r="G78" s="121">
        <v>42577</v>
      </c>
      <c r="H78" s="121">
        <v>43159</v>
      </c>
      <c r="I78" s="121">
        <v>41958</v>
      </c>
      <c r="J78" s="121">
        <v>41365</v>
      </c>
      <c r="K78" s="484"/>
      <c r="L78" s="502"/>
      <c r="M78" s="564"/>
    </row>
    <row r="79" spans="2:13" s="190" customFormat="1" ht="19.95" customHeight="1">
      <c r="B79" s="505"/>
      <c r="C79" s="481"/>
      <c r="D79" s="493"/>
      <c r="E79" s="509"/>
      <c r="F79" s="141" t="s">
        <v>1</v>
      </c>
      <c r="G79" s="142">
        <v>48.98</v>
      </c>
      <c r="H79" s="142">
        <v>49.16</v>
      </c>
      <c r="I79" s="142">
        <f>I78/$I$25*100</f>
        <v>49.020936536124871</v>
      </c>
      <c r="J79" s="142">
        <v>49.67</v>
      </c>
      <c r="K79" s="484"/>
      <c r="L79" s="503"/>
      <c r="M79" s="565"/>
    </row>
    <row r="80" spans="2:13" s="190" customFormat="1" ht="19.95" customHeight="1">
      <c r="B80" s="505"/>
      <c r="C80" s="481"/>
      <c r="D80" s="492" t="s">
        <v>252</v>
      </c>
      <c r="E80" s="462" t="s">
        <v>250</v>
      </c>
      <c r="F80" s="135" t="s">
        <v>229</v>
      </c>
      <c r="G80" s="136">
        <v>36198</v>
      </c>
      <c r="H80" s="136">
        <v>36932</v>
      </c>
      <c r="I80" s="136">
        <v>36373</v>
      </c>
      <c r="J80" s="136">
        <v>36079</v>
      </c>
      <c r="K80" s="462" t="s">
        <v>12</v>
      </c>
      <c r="L80" s="500" t="s">
        <v>261</v>
      </c>
      <c r="M80" s="563"/>
    </row>
    <row r="81" spans="2:13" s="190" customFormat="1" ht="19.95" customHeight="1">
      <c r="B81" s="505"/>
      <c r="C81" s="481"/>
      <c r="D81" s="484"/>
      <c r="E81" s="528"/>
      <c r="F81" s="245" t="s">
        <v>1</v>
      </c>
      <c r="G81" s="137">
        <v>41.62</v>
      </c>
      <c r="H81" s="137">
        <v>42.06</v>
      </c>
      <c r="I81" s="137">
        <f>I80/$I$25*100</f>
        <v>42.495793999439201</v>
      </c>
      <c r="J81" s="137">
        <v>43.32</v>
      </c>
      <c r="K81" s="508"/>
      <c r="L81" s="502"/>
      <c r="M81" s="564"/>
    </row>
    <row r="82" spans="2:13" s="190" customFormat="1" ht="19.95" customHeight="1">
      <c r="B82" s="505"/>
      <c r="C82" s="481"/>
      <c r="D82" s="484"/>
      <c r="E82" s="527" t="s">
        <v>251</v>
      </c>
      <c r="F82" s="261" t="s">
        <v>229</v>
      </c>
      <c r="G82" s="121">
        <v>35273</v>
      </c>
      <c r="H82" s="121">
        <v>36667</v>
      </c>
      <c r="I82" s="121">
        <v>36004</v>
      </c>
      <c r="J82" s="121">
        <v>36579</v>
      </c>
      <c r="K82" s="508"/>
      <c r="L82" s="502"/>
      <c r="M82" s="564"/>
    </row>
    <row r="83" spans="2:13" s="190" customFormat="1" ht="19.95" customHeight="1">
      <c r="B83" s="505"/>
      <c r="C83" s="481"/>
      <c r="D83" s="493"/>
      <c r="E83" s="509"/>
      <c r="F83" s="141" t="s">
        <v>1</v>
      </c>
      <c r="G83" s="142">
        <v>40.58</v>
      </c>
      <c r="H83" s="142">
        <v>41.76</v>
      </c>
      <c r="I83" s="142">
        <f>I82/$I$25*100</f>
        <v>42.06467894195719</v>
      </c>
      <c r="J83" s="142">
        <v>43.92</v>
      </c>
      <c r="K83" s="509"/>
      <c r="L83" s="503"/>
      <c r="M83" s="565"/>
    </row>
    <row r="84" spans="2:13" s="190" customFormat="1" ht="19.95" customHeight="1">
      <c r="B84" s="505"/>
      <c r="C84" s="481"/>
      <c r="D84" s="492" t="s">
        <v>253</v>
      </c>
      <c r="E84" s="462" t="s">
        <v>250</v>
      </c>
      <c r="F84" s="135" t="s">
        <v>229</v>
      </c>
      <c r="G84" s="136">
        <v>8152</v>
      </c>
      <c r="H84" s="136">
        <v>7709</v>
      </c>
      <c r="I84" s="136">
        <v>7261</v>
      </c>
      <c r="J84" s="136">
        <v>5841</v>
      </c>
      <c r="K84" s="462" t="s">
        <v>12</v>
      </c>
      <c r="L84" s="500" t="s">
        <v>259</v>
      </c>
      <c r="M84" s="563"/>
    </row>
    <row r="85" spans="2:13" s="190" customFormat="1" ht="19.95" customHeight="1">
      <c r="B85" s="505"/>
      <c r="C85" s="481"/>
      <c r="D85" s="484"/>
      <c r="E85" s="528"/>
      <c r="F85" s="245" t="s">
        <v>1</v>
      </c>
      <c r="G85" s="137">
        <v>9.3800000000000008</v>
      </c>
      <c r="H85" s="137">
        <v>8.7799999999999994</v>
      </c>
      <c r="I85" s="137">
        <f>I84/$I$25*100</f>
        <v>8.4832694644359297</v>
      </c>
      <c r="J85" s="137">
        <v>7.01</v>
      </c>
      <c r="K85" s="508"/>
      <c r="L85" s="502"/>
      <c r="M85" s="564"/>
    </row>
    <row r="86" spans="2:13" s="190" customFormat="1" ht="19.95" customHeight="1">
      <c r="B86" s="505"/>
      <c r="C86" s="481"/>
      <c r="D86" s="484"/>
      <c r="E86" s="527" t="s">
        <v>251</v>
      </c>
      <c r="F86" s="261" t="s">
        <v>229</v>
      </c>
      <c r="G86" s="121">
        <v>7304</v>
      </c>
      <c r="H86" s="121">
        <v>6492</v>
      </c>
      <c r="I86" s="121">
        <v>5954</v>
      </c>
      <c r="J86" s="121">
        <v>4786</v>
      </c>
      <c r="K86" s="508"/>
      <c r="L86" s="502"/>
      <c r="M86" s="564"/>
    </row>
    <row r="87" spans="2:13" s="190" customFormat="1" ht="19.95" customHeight="1">
      <c r="B87" s="505"/>
      <c r="C87" s="481"/>
      <c r="D87" s="493"/>
      <c r="E87" s="509"/>
      <c r="F87" s="141" t="s">
        <v>1</v>
      </c>
      <c r="G87" s="142">
        <v>8.4</v>
      </c>
      <c r="H87" s="142">
        <v>7.39</v>
      </c>
      <c r="I87" s="142">
        <f>I86/$I$25*100</f>
        <v>6.9562575941676794</v>
      </c>
      <c r="J87" s="142">
        <v>5.75</v>
      </c>
      <c r="K87" s="509"/>
      <c r="L87" s="503"/>
      <c r="M87" s="565"/>
    </row>
    <row r="88" spans="2:13" s="190" customFormat="1" ht="19.95" customHeight="1">
      <c r="B88" s="505"/>
      <c r="C88" s="481"/>
      <c r="D88" s="532" t="s">
        <v>254</v>
      </c>
      <c r="E88" s="523" t="s">
        <v>250</v>
      </c>
      <c r="F88" s="135" t="s">
        <v>229</v>
      </c>
      <c r="G88" s="136">
        <v>43829</v>
      </c>
      <c r="H88" s="136">
        <v>44378</v>
      </c>
      <c r="I88" s="136">
        <v>43327</v>
      </c>
      <c r="J88" s="136">
        <v>41553</v>
      </c>
      <c r="K88" s="462" t="s">
        <v>12</v>
      </c>
      <c r="L88" s="500" t="s">
        <v>260</v>
      </c>
      <c r="M88" s="563"/>
    </row>
    <row r="89" spans="2:13" s="190" customFormat="1" ht="19.95" customHeight="1">
      <c r="B89" s="505"/>
      <c r="C89" s="481"/>
      <c r="D89" s="552"/>
      <c r="E89" s="524"/>
      <c r="F89" s="245" t="s">
        <v>1</v>
      </c>
      <c r="G89" s="137">
        <v>50.43</v>
      </c>
      <c r="H89" s="137">
        <v>50.54</v>
      </c>
      <c r="I89" s="137">
        <f>I88/$I$25*100</f>
        <v>50.620385082718009</v>
      </c>
      <c r="J89" s="137">
        <v>49.89</v>
      </c>
      <c r="K89" s="508"/>
      <c r="L89" s="502"/>
      <c r="M89" s="564"/>
    </row>
    <row r="90" spans="2:13" s="190" customFormat="1" ht="19.95" customHeight="1">
      <c r="B90" s="505"/>
      <c r="C90" s="481"/>
      <c r="D90" s="552"/>
      <c r="E90" s="521" t="s">
        <v>251</v>
      </c>
      <c r="F90" s="261" t="s">
        <v>229</v>
      </c>
      <c r="G90" s="121">
        <v>42347</v>
      </c>
      <c r="H90" s="121">
        <v>43029</v>
      </c>
      <c r="I90" s="121">
        <v>41833</v>
      </c>
      <c r="J90" s="121">
        <v>41207</v>
      </c>
      <c r="K90" s="508"/>
      <c r="L90" s="502"/>
      <c r="M90" s="564"/>
    </row>
    <row r="91" spans="2:13" s="190" customFormat="1" ht="19.95" customHeight="1">
      <c r="B91" s="505"/>
      <c r="C91" s="481"/>
      <c r="D91" s="534"/>
      <c r="E91" s="522"/>
      <c r="F91" s="141" t="s">
        <v>1</v>
      </c>
      <c r="G91" s="142">
        <v>48.72</v>
      </c>
      <c r="H91" s="142">
        <v>49.01</v>
      </c>
      <c r="I91" s="142">
        <f>I90/$I$25*100</f>
        <v>48.874894849985978</v>
      </c>
      <c r="J91" s="142">
        <v>49.48</v>
      </c>
      <c r="K91" s="509"/>
      <c r="L91" s="503"/>
      <c r="M91" s="565"/>
    </row>
    <row r="92" spans="2:13" s="190" customFormat="1" ht="19.95" customHeight="1">
      <c r="B92" s="505"/>
      <c r="C92" s="481"/>
      <c r="D92" s="532" t="s">
        <v>255</v>
      </c>
      <c r="E92" s="523" t="s">
        <v>250</v>
      </c>
      <c r="F92" s="413" t="s">
        <v>229</v>
      </c>
      <c r="G92" s="136">
        <v>521</v>
      </c>
      <c r="H92" s="136">
        <v>263</v>
      </c>
      <c r="I92" s="136">
        <v>307</v>
      </c>
      <c r="J92" s="136">
        <v>367</v>
      </c>
      <c r="K92" s="462" t="s">
        <v>12</v>
      </c>
      <c r="L92" s="500" t="s">
        <v>258</v>
      </c>
      <c r="M92" s="563"/>
    </row>
    <row r="93" spans="2:13" s="190" customFormat="1" ht="19.95" customHeight="1">
      <c r="B93" s="505"/>
      <c r="C93" s="481"/>
      <c r="D93" s="552"/>
      <c r="E93" s="524"/>
      <c r="F93" s="414" t="s">
        <v>1</v>
      </c>
      <c r="G93" s="137">
        <v>0.59</v>
      </c>
      <c r="H93" s="137">
        <v>0.3</v>
      </c>
      <c r="I93" s="137">
        <f>I92/$I$25*100</f>
        <v>0.35867838115711748</v>
      </c>
      <c r="J93" s="137">
        <v>0.44</v>
      </c>
      <c r="K93" s="508"/>
      <c r="L93" s="502"/>
      <c r="M93" s="564"/>
    </row>
    <row r="94" spans="2:13" s="190" customFormat="1" ht="19.95" customHeight="1">
      <c r="B94" s="505"/>
      <c r="C94" s="481"/>
      <c r="D94" s="552"/>
      <c r="E94" s="521" t="s">
        <v>251</v>
      </c>
      <c r="F94" s="415" t="s">
        <v>229</v>
      </c>
      <c r="G94" s="121">
        <v>230</v>
      </c>
      <c r="H94" s="121">
        <v>130</v>
      </c>
      <c r="I94" s="121">
        <v>125</v>
      </c>
      <c r="J94" s="121">
        <v>158</v>
      </c>
      <c r="K94" s="508"/>
      <c r="L94" s="502"/>
      <c r="M94" s="564"/>
    </row>
    <row r="95" spans="2:13" s="190" customFormat="1" ht="19.95" customHeight="1">
      <c r="B95" s="505"/>
      <c r="C95" s="481"/>
      <c r="D95" s="534"/>
      <c r="E95" s="522"/>
      <c r="F95" s="416" t="s">
        <v>1</v>
      </c>
      <c r="G95" s="142">
        <v>0.26</v>
      </c>
      <c r="H95" s="142">
        <v>0.15</v>
      </c>
      <c r="I95" s="142">
        <f>I94/$I$25*100</f>
        <v>0.14604168613889149</v>
      </c>
      <c r="J95" s="142">
        <v>0.19</v>
      </c>
      <c r="K95" s="509"/>
      <c r="L95" s="503"/>
      <c r="M95" s="565"/>
    </row>
    <row r="96" spans="2:13" s="190" customFormat="1" ht="19.95" customHeight="1">
      <c r="B96" s="505"/>
      <c r="C96" s="481"/>
      <c r="D96" s="492" t="s">
        <v>266</v>
      </c>
      <c r="E96" s="367" t="s">
        <v>267</v>
      </c>
      <c r="F96" s="135" t="s">
        <v>1</v>
      </c>
      <c r="G96" s="145">
        <v>9.7200000000000006</v>
      </c>
      <c r="H96" s="145">
        <v>11.95</v>
      </c>
      <c r="I96" s="145">
        <v>11.72</v>
      </c>
      <c r="J96" s="145">
        <v>15.07</v>
      </c>
      <c r="K96" s="460" t="s">
        <v>90</v>
      </c>
      <c r="L96" s="500" t="s">
        <v>256</v>
      </c>
      <c r="M96" s="566" t="s">
        <v>712</v>
      </c>
    </row>
    <row r="97" spans="2:14" s="190" customFormat="1" ht="19.95" customHeight="1">
      <c r="B97" s="505"/>
      <c r="C97" s="481"/>
      <c r="D97" s="473"/>
      <c r="E97" s="363" t="s">
        <v>268</v>
      </c>
      <c r="F97" s="261" t="s">
        <v>1</v>
      </c>
      <c r="G97" s="96">
        <v>17.260000000000002</v>
      </c>
      <c r="H97" s="96">
        <v>20.350000000000001</v>
      </c>
      <c r="I97" s="96">
        <v>20.09</v>
      </c>
      <c r="J97" s="96">
        <v>26.46</v>
      </c>
      <c r="K97" s="484"/>
      <c r="L97" s="502"/>
      <c r="M97" s="567"/>
    </row>
    <row r="98" spans="2:14" s="190" customFormat="1" ht="19.95" customHeight="1">
      <c r="B98" s="505"/>
      <c r="C98" s="481"/>
      <c r="D98" s="473"/>
      <c r="E98" s="363" t="s">
        <v>269</v>
      </c>
      <c r="F98" s="261" t="s">
        <v>1</v>
      </c>
      <c r="G98" s="96">
        <v>33.24</v>
      </c>
      <c r="H98" s="96">
        <v>33.35</v>
      </c>
      <c r="I98" s="96">
        <v>33.729999999999997</v>
      </c>
      <c r="J98" s="96">
        <v>34.21</v>
      </c>
      <c r="K98" s="484"/>
      <c r="L98" s="502"/>
      <c r="M98" s="567"/>
    </row>
    <row r="99" spans="2:14" s="190" customFormat="1" ht="19.95" customHeight="1">
      <c r="B99" s="505"/>
      <c r="C99" s="481"/>
      <c r="D99" s="473"/>
      <c r="E99" s="283" t="s">
        <v>270</v>
      </c>
      <c r="F99" s="261" t="s">
        <v>1</v>
      </c>
      <c r="G99" s="96">
        <v>46.6</v>
      </c>
      <c r="H99" s="96">
        <v>46.84</v>
      </c>
      <c r="I99" s="96">
        <v>47.42</v>
      </c>
      <c r="J99" s="96">
        <v>47.8</v>
      </c>
      <c r="K99" s="484"/>
      <c r="L99" s="502"/>
      <c r="M99" s="567"/>
    </row>
    <row r="100" spans="2:14" s="190" customFormat="1" ht="19.95" customHeight="1">
      <c r="B100" s="505"/>
      <c r="C100" s="481"/>
      <c r="D100" s="473"/>
      <c r="E100" s="283" t="s">
        <v>271</v>
      </c>
      <c r="F100" s="261" t="s">
        <v>1</v>
      </c>
      <c r="G100" s="96">
        <v>54.18</v>
      </c>
      <c r="H100" s="96">
        <v>52.84</v>
      </c>
      <c r="I100" s="96">
        <v>52.39</v>
      </c>
      <c r="J100" s="96">
        <v>50.71</v>
      </c>
      <c r="K100" s="484"/>
      <c r="L100" s="502"/>
      <c r="M100" s="567"/>
    </row>
    <row r="101" spans="2:14" s="190" customFormat="1" ht="19.95" customHeight="1">
      <c r="B101" s="505"/>
      <c r="C101" s="481"/>
      <c r="D101" s="473"/>
      <c r="E101" s="363" t="s">
        <v>272</v>
      </c>
      <c r="F101" s="261" t="s">
        <v>1</v>
      </c>
      <c r="G101" s="96">
        <v>54.49</v>
      </c>
      <c r="H101" s="96">
        <v>56.13</v>
      </c>
      <c r="I101" s="96">
        <v>56.87</v>
      </c>
      <c r="J101" s="96">
        <v>57.49</v>
      </c>
      <c r="K101" s="484"/>
      <c r="L101" s="502"/>
      <c r="M101" s="567"/>
    </row>
    <row r="102" spans="2:14" s="190" customFormat="1" ht="19.95" customHeight="1">
      <c r="B102" s="505"/>
      <c r="C102" s="481"/>
      <c r="D102" s="473"/>
      <c r="E102" s="363" t="s">
        <v>273</v>
      </c>
      <c r="F102" s="261" t="s">
        <v>1</v>
      </c>
      <c r="G102" s="96">
        <v>69.37</v>
      </c>
      <c r="H102" s="96">
        <v>66.92</v>
      </c>
      <c r="I102" s="96">
        <v>71.06</v>
      </c>
      <c r="J102" s="96">
        <v>69.900000000000006</v>
      </c>
      <c r="K102" s="484"/>
      <c r="L102" s="502"/>
      <c r="M102" s="567"/>
    </row>
    <row r="103" spans="2:14" s="190" customFormat="1" ht="19.95" customHeight="1">
      <c r="B103" s="505"/>
      <c r="C103" s="481"/>
      <c r="D103" s="493"/>
      <c r="E103" s="364" t="s">
        <v>274</v>
      </c>
      <c r="F103" s="141" t="s">
        <v>1</v>
      </c>
      <c r="G103" s="96">
        <v>47.31</v>
      </c>
      <c r="H103" s="96">
        <v>49.82</v>
      </c>
      <c r="I103" s="96">
        <v>49.14</v>
      </c>
      <c r="J103" s="96">
        <v>49.23</v>
      </c>
      <c r="K103" s="510"/>
      <c r="L103" s="503"/>
      <c r="M103" s="568"/>
    </row>
    <row r="104" spans="2:14" s="190" customFormat="1" ht="19.95" customHeight="1">
      <c r="B104" s="505"/>
      <c r="C104" s="481"/>
      <c r="D104" s="532" t="s">
        <v>275</v>
      </c>
      <c r="E104" s="367" t="s">
        <v>276</v>
      </c>
      <c r="F104" s="135" t="s">
        <v>1</v>
      </c>
      <c r="G104" s="146">
        <v>32.54</v>
      </c>
      <c r="H104" s="146">
        <v>31.51</v>
      </c>
      <c r="I104" s="147">
        <v>30.5</v>
      </c>
      <c r="J104" s="147">
        <v>28.67</v>
      </c>
      <c r="K104" s="460" t="s">
        <v>17</v>
      </c>
      <c r="L104" s="512" t="s">
        <v>257</v>
      </c>
      <c r="M104" s="569"/>
    </row>
    <row r="105" spans="2:14" s="190" customFormat="1" ht="19.95" customHeight="1">
      <c r="B105" s="505"/>
      <c r="C105" s="481"/>
      <c r="D105" s="533"/>
      <c r="E105" s="363" t="s">
        <v>277</v>
      </c>
      <c r="F105" s="261" t="s">
        <v>1</v>
      </c>
      <c r="G105" s="138">
        <v>58.59</v>
      </c>
      <c r="H105" s="138">
        <v>59.07</v>
      </c>
      <c r="I105" s="148">
        <v>59.73</v>
      </c>
      <c r="J105" s="148">
        <v>61.53</v>
      </c>
      <c r="K105" s="484"/>
      <c r="L105" s="513"/>
      <c r="M105" s="570"/>
    </row>
    <row r="106" spans="2:14" s="190" customFormat="1" ht="19.95" customHeight="1">
      <c r="B106" s="505"/>
      <c r="C106" s="481"/>
      <c r="D106" s="534"/>
      <c r="E106" s="364" t="s">
        <v>278</v>
      </c>
      <c r="F106" s="141" t="s">
        <v>1</v>
      </c>
      <c r="G106" s="142">
        <v>8.8699999999999992</v>
      </c>
      <c r="H106" s="142">
        <v>9.41</v>
      </c>
      <c r="I106" s="149">
        <v>9.77</v>
      </c>
      <c r="J106" s="149">
        <v>9.8000000000000007</v>
      </c>
      <c r="K106" s="510"/>
      <c r="L106" s="514"/>
      <c r="M106" s="571"/>
      <c r="N106" s="417"/>
    </row>
    <row r="107" spans="2:14" s="190" customFormat="1" ht="19.95" customHeight="1">
      <c r="B107" s="505"/>
      <c r="C107" s="481"/>
      <c r="D107" s="492" t="s">
        <v>276</v>
      </c>
      <c r="E107" s="367" t="s">
        <v>267</v>
      </c>
      <c r="F107" s="135" t="s">
        <v>1</v>
      </c>
      <c r="G107" s="145">
        <v>0</v>
      </c>
      <c r="H107" s="145">
        <v>0</v>
      </c>
      <c r="I107" s="145">
        <v>0</v>
      </c>
      <c r="J107" s="145">
        <v>0</v>
      </c>
      <c r="K107" s="460" t="s">
        <v>17</v>
      </c>
      <c r="L107" s="512" t="s">
        <v>257</v>
      </c>
      <c r="M107" s="566" t="s">
        <v>712</v>
      </c>
    </row>
    <row r="108" spans="2:14" s="190" customFormat="1" ht="19.95" customHeight="1">
      <c r="B108" s="505"/>
      <c r="C108" s="481"/>
      <c r="D108" s="473"/>
      <c r="E108" s="363" t="s">
        <v>268</v>
      </c>
      <c r="F108" s="261" t="s">
        <v>1</v>
      </c>
      <c r="G108" s="96">
        <v>0</v>
      </c>
      <c r="H108" s="96">
        <v>0</v>
      </c>
      <c r="I108" s="96">
        <v>0</v>
      </c>
      <c r="J108" s="96">
        <v>0</v>
      </c>
      <c r="K108" s="484"/>
      <c r="L108" s="513"/>
      <c r="M108" s="567"/>
    </row>
    <row r="109" spans="2:14" s="190" customFormat="1" ht="19.95" customHeight="1">
      <c r="B109" s="505"/>
      <c r="C109" s="481"/>
      <c r="D109" s="473"/>
      <c r="E109" s="363" t="s">
        <v>269</v>
      </c>
      <c r="F109" s="261" t="s">
        <v>1</v>
      </c>
      <c r="G109" s="96">
        <v>4.24</v>
      </c>
      <c r="H109" s="96">
        <v>3.89</v>
      </c>
      <c r="I109" s="96">
        <v>3.74</v>
      </c>
      <c r="J109" s="96">
        <v>3.37</v>
      </c>
      <c r="K109" s="484"/>
      <c r="L109" s="513"/>
      <c r="M109" s="567"/>
    </row>
    <row r="110" spans="2:14" s="190" customFormat="1" ht="19.95" customHeight="1">
      <c r="B110" s="505"/>
      <c r="C110" s="481"/>
      <c r="D110" s="473"/>
      <c r="E110" s="283" t="s">
        <v>270</v>
      </c>
      <c r="F110" s="261" t="s">
        <v>1</v>
      </c>
      <c r="G110" s="96">
        <v>22.65</v>
      </c>
      <c r="H110" s="96">
        <v>22.55</v>
      </c>
      <c r="I110" s="96">
        <v>19.829999999999998</v>
      </c>
      <c r="J110" s="96">
        <v>17.87</v>
      </c>
      <c r="K110" s="484"/>
      <c r="L110" s="513"/>
      <c r="M110" s="567"/>
    </row>
    <row r="111" spans="2:14" s="190" customFormat="1" ht="19.95" customHeight="1">
      <c r="B111" s="505"/>
      <c r="C111" s="481"/>
      <c r="D111" s="473"/>
      <c r="E111" s="283" t="s">
        <v>271</v>
      </c>
      <c r="F111" s="261" t="s">
        <v>1</v>
      </c>
      <c r="G111" s="96">
        <v>19.8</v>
      </c>
      <c r="H111" s="96">
        <v>20.51</v>
      </c>
      <c r="I111" s="96">
        <v>19.86</v>
      </c>
      <c r="J111" s="96">
        <v>19.89</v>
      </c>
      <c r="K111" s="484"/>
      <c r="L111" s="513"/>
      <c r="M111" s="567"/>
    </row>
    <row r="112" spans="2:14" s="190" customFormat="1" ht="19.95" customHeight="1">
      <c r="B112" s="505"/>
      <c r="C112" s="481"/>
      <c r="D112" s="473"/>
      <c r="E112" s="363" t="s">
        <v>272</v>
      </c>
      <c r="F112" s="261" t="s">
        <v>1</v>
      </c>
      <c r="G112" s="96">
        <v>61.45</v>
      </c>
      <c r="H112" s="96">
        <v>59.37</v>
      </c>
      <c r="I112" s="96">
        <v>46.47</v>
      </c>
      <c r="J112" s="96">
        <v>51.82</v>
      </c>
      <c r="K112" s="484"/>
      <c r="L112" s="513"/>
      <c r="M112" s="567"/>
    </row>
    <row r="113" spans="2:13" s="190" customFormat="1" ht="19.95" customHeight="1">
      <c r="B113" s="505"/>
      <c r="C113" s="481"/>
      <c r="D113" s="473"/>
      <c r="E113" s="363" t="s">
        <v>273</v>
      </c>
      <c r="F113" s="261" t="s">
        <v>1</v>
      </c>
      <c r="G113" s="96">
        <v>100</v>
      </c>
      <c r="H113" s="96">
        <v>100</v>
      </c>
      <c r="I113" s="96">
        <v>100</v>
      </c>
      <c r="J113" s="96">
        <v>100</v>
      </c>
      <c r="K113" s="484"/>
      <c r="L113" s="513"/>
      <c r="M113" s="567"/>
    </row>
    <row r="114" spans="2:13" s="190" customFormat="1" ht="19.95" customHeight="1">
      <c r="B114" s="505"/>
      <c r="C114" s="481"/>
      <c r="D114" s="493"/>
      <c r="E114" s="364" t="s">
        <v>274</v>
      </c>
      <c r="F114" s="141" t="s">
        <v>1</v>
      </c>
      <c r="G114" s="150">
        <v>96.92</v>
      </c>
      <c r="H114" s="150">
        <v>96.19</v>
      </c>
      <c r="I114" s="150">
        <v>96.32</v>
      </c>
      <c r="J114" s="150">
        <v>96.03</v>
      </c>
      <c r="K114" s="510"/>
      <c r="L114" s="514"/>
      <c r="M114" s="568"/>
    </row>
    <row r="115" spans="2:13" s="190" customFormat="1" ht="19.95" customHeight="1">
      <c r="B115" s="505"/>
      <c r="C115" s="481"/>
      <c r="D115" s="492" t="s">
        <v>277</v>
      </c>
      <c r="E115" s="367" t="s">
        <v>267</v>
      </c>
      <c r="F115" s="135" t="s">
        <v>1</v>
      </c>
      <c r="G115" s="145">
        <v>37.5</v>
      </c>
      <c r="H115" s="145">
        <v>32.700000000000003</v>
      </c>
      <c r="I115" s="145">
        <v>29.66</v>
      </c>
      <c r="J115" s="145">
        <v>30.14</v>
      </c>
      <c r="K115" s="460" t="s">
        <v>17</v>
      </c>
      <c r="L115" s="512" t="s">
        <v>257</v>
      </c>
      <c r="M115" s="566" t="s">
        <v>712</v>
      </c>
    </row>
    <row r="116" spans="2:13" s="190" customFormat="1" ht="19.95" customHeight="1">
      <c r="B116" s="505"/>
      <c r="C116" s="481"/>
      <c r="D116" s="473"/>
      <c r="E116" s="363" t="s">
        <v>268</v>
      </c>
      <c r="F116" s="261" t="s">
        <v>1</v>
      </c>
      <c r="G116" s="96">
        <v>77.430000000000007</v>
      </c>
      <c r="H116" s="96">
        <v>75.760000000000005</v>
      </c>
      <c r="I116" s="96">
        <v>72.599999999999994</v>
      </c>
      <c r="J116" s="96">
        <v>72.92</v>
      </c>
      <c r="K116" s="484"/>
      <c r="L116" s="513"/>
      <c r="M116" s="567"/>
    </row>
    <row r="117" spans="2:13" s="190" customFormat="1" ht="19.95" customHeight="1">
      <c r="B117" s="505"/>
      <c r="C117" s="481"/>
      <c r="D117" s="473"/>
      <c r="E117" s="363" t="s">
        <v>269</v>
      </c>
      <c r="F117" s="261" t="s">
        <v>1</v>
      </c>
      <c r="G117" s="96">
        <v>80.959999999999994</v>
      </c>
      <c r="H117" s="96">
        <v>80.349999999999994</v>
      </c>
      <c r="I117" s="96">
        <v>79.66</v>
      </c>
      <c r="J117" s="96">
        <v>79.97</v>
      </c>
      <c r="K117" s="484"/>
      <c r="L117" s="513"/>
      <c r="M117" s="567"/>
    </row>
    <row r="118" spans="2:13" s="190" customFormat="1" ht="19.95" customHeight="1">
      <c r="B118" s="505"/>
      <c r="C118" s="481"/>
      <c r="D118" s="473"/>
      <c r="E118" s="283" t="s">
        <v>270</v>
      </c>
      <c r="F118" s="261" t="s">
        <v>1</v>
      </c>
      <c r="G118" s="96">
        <v>58.39</v>
      </c>
      <c r="H118" s="96">
        <v>56.26</v>
      </c>
      <c r="I118" s="96">
        <v>56.6</v>
      </c>
      <c r="J118" s="96">
        <v>57.93</v>
      </c>
      <c r="K118" s="484"/>
      <c r="L118" s="513"/>
      <c r="M118" s="567"/>
    </row>
    <row r="119" spans="2:13" s="190" customFormat="1" ht="19.95" customHeight="1">
      <c r="B119" s="505"/>
      <c r="C119" s="481"/>
      <c r="D119" s="473"/>
      <c r="E119" s="283" t="s">
        <v>271</v>
      </c>
      <c r="F119" s="261" t="s">
        <v>1</v>
      </c>
      <c r="G119" s="96">
        <v>72.790000000000006</v>
      </c>
      <c r="H119" s="96">
        <v>71.84</v>
      </c>
      <c r="I119" s="96">
        <v>72.25</v>
      </c>
      <c r="J119" s="96">
        <v>72.400000000000006</v>
      </c>
      <c r="K119" s="484"/>
      <c r="L119" s="513"/>
      <c r="M119" s="567"/>
    </row>
    <row r="120" spans="2:13" s="190" customFormat="1" ht="19.95" customHeight="1">
      <c r="B120" s="505"/>
      <c r="C120" s="481"/>
      <c r="D120" s="473"/>
      <c r="E120" s="363" t="s">
        <v>272</v>
      </c>
      <c r="F120" s="261" t="s">
        <v>1</v>
      </c>
      <c r="G120" s="96">
        <v>31.99</v>
      </c>
      <c r="H120" s="96">
        <v>33.6</v>
      </c>
      <c r="I120" s="96">
        <v>36.119999999999997</v>
      </c>
      <c r="J120" s="96">
        <v>40.229999999999997</v>
      </c>
      <c r="K120" s="484"/>
      <c r="L120" s="513"/>
      <c r="M120" s="567"/>
    </row>
    <row r="121" spans="2:13" s="190" customFormat="1" ht="19.95" customHeight="1">
      <c r="B121" s="505"/>
      <c r="C121" s="481"/>
      <c r="D121" s="473"/>
      <c r="E121" s="363" t="s">
        <v>273</v>
      </c>
      <c r="F121" s="261" t="s">
        <v>1</v>
      </c>
      <c r="G121" s="96">
        <v>0</v>
      </c>
      <c r="H121" s="96">
        <v>0</v>
      </c>
      <c r="I121" s="96">
        <v>0</v>
      </c>
      <c r="J121" s="96">
        <v>0</v>
      </c>
      <c r="K121" s="484"/>
      <c r="L121" s="513"/>
      <c r="M121" s="567"/>
    </row>
    <row r="122" spans="2:13" s="190" customFormat="1" ht="19.95" customHeight="1">
      <c r="B122" s="505"/>
      <c r="C122" s="481"/>
      <c r="D122" s="493"/>
      <c r="E122" s="364" t="s">
        <v>274</v>
      </c>
      <c r="F122" s="141" t="s">
        <v>1</v>
      </c>
      <c r="G122" s="150">
        <v>3.08</v>
      </c>
      <c r="H122" s="150">
        <v>3.81</v>
      </c>
      <c r="I122" s="150">
        <v>3.68</v>
      </c>
      <c r="J122" s="150">
        <v>3.93</v>
      </c>
      <c r="K122" s="510"/>
      <c r="L122" s="514"/>
      <c r="M122" s="568"/>
    </row>
    <row r="123" spans="2:13" s="190" customFormat="1" ht="19.95" customHeight="1">
      <c r="B123" s="505"/>
      <c r="C123" s="481"/>
      <c r="D123" s="492" t="s">
        <v>278</v>
      </c>
      <c r="E123" s="367" t="s">
        <v>267</v>
      </c>
      <c r="F123" s="135" t="s">
        <v>1</v>
      </c>
      <c r="G123" s="145">
        <v>62.5</v>
      </c>
      <c r="H123" s="145">
        <v>67.3</v>
      </c>
      <c r="I123" s="145">
        <v>70.34</v>
      </c>
      <c r="J123" s="145">
        <v>69.86</v>
      </c>
      <c r="K123" s="460" t="s">
        <v>17</v>
      </c>
      <c r="L123" s="512" t="s">
        <v>257</v>
      </c>
      <c r="M123" s="566" t="s">
        <v>712</v>
      </c>
    </row>
    <row r="124" spans="2:13" s="190" customFormat="1" ht="19.95" customHeight="1">
      <c r="B124" s="505"/>
      <c r="C124" s="481"/>
      <c r="D124" s="473"/>
      <c r="E124" s="363" t="s">
        <v>268</v>
      </c>
      <c r="F124" s="261" t="s">
        <v>1</v>
      </c>
      <c r="G124" s="96">
        <v>22.57</v>
      </c>
      <c r="H124" s="96">
        <v>24.24</v>
      </c>
      <c r="I124" s="96">
        <v>27.4</v>
      </c>
      <c r="J124" s="96">
        <v>27.08</v>
      </c>
      <c r="K124" s="484"/>
      <c r="L124" s="513"/>
      <c r="M124" s="567"/>
    </row>
    <row r="125" spans="2:13" s="190" customFormat="1" ht="19.95" customHeight="1">
      <c r="B125" s="505"/>
      <c r="C125" s="481"/>
      <c r="D125" s="473"/>
      <c r="E125" s="363" t="s">
        <v>269</v>
      </c>
      <c r="F125" s="261" t="s">
        <v>1</v>
      </c>
      <c r="G125" s="96">
        <v>14.79</v>
      </c>
      <c r="H125" s="96">
        <v>15.77</v>
      </c>
      <c r="I125" s="96">
        <v>16.61</v>
      </c>
      <c r="J125" s="96">
        <v>16.66</v>
      </c>
      <c r="K125" s="484"/>
      <c r="L125" s="513"/>
      <c r="M125" s="567"/>
    </row>
    <row r="126" spans="2:13" s="190" customFormat="1" ht="19.95" customHeight="1">
      <c r="B126" s="505"/>
      <c r="C126" s="481"/>
      <c r="D126" s="473"/>
      <c r="E126" s="283" t="s">
        <v>270</v>
      </c>
      <c r="F126" s="261" t="s">
        <v>1</v>
      </c>
      <c r="G126" s="96">
        <v>18.96</v>
      </c>
      <c r="H126" s="96">
        <v>21.19</v>
      </c>
      <c r="I126" s="96">
        <v>23.57</v>
      </c>
      <c r="J126" s="96">
        <v>24.2</v>
      </c>
      <c r="K126" s="484"/>
      <c r="L126" s="513"/>
      <c r="M126" s="567"/>
    </row>
    <row r="127" spans="2:13" s="190" customFormat="1" ht="19.95" customHeight="1">
      <c r="B127" s="505"/>
      <c r="C127" s="481"/>
      <c r="D127" s="473"/>
      <c r="E127" s="283" t="s">
        <v>271</v>
      </c>
      <c r="F127" s="261" t="s">
        <v>1</v>
      </c>
      <c r="G127" s="96">
        <v>7.41</v>
      </c>
      <c r="H127" s="96">
        <v>7.64</v>
      </c>
      <c r="I127" s="96">
        <v>7.89</v>
      </c>
      <c r="J127" s="96">
        <v>7.71</v>
      </c>
      <c r="K127" s="484"/>
      <c r="L127" s="513"/>
      <c r="M127" s="567"/>
    </row>
    <row r="128" spans="2:13" s="190" customFormat="1" ht="19.95" customHeight="1">
      <c r="B128" s="505"/>
      <c r="C128" s="481"/>
      <c r="D128" s="473"/>
      <c r="E128" s="363" t="s">
        <v>272</v>
      </c>
      <c r="F128" s="261" t="s">
        <v>1</v>
      </c>
      <c r="G128" s="96">
        <v>6.57</v>
      </c>
      <c r="H128" s="96">
        <v>7.02</v>
      </c>
      <c r="I128" s="96">
        <v>7.41</v>
      </c>
      <c r="J128" s="96">
        <v>7.95</v>
      </c>
      <c r="K128" s="484"/>
      <c r="L128" s="513"/>
      <c r="M128" s="567"/>
    </row>
    <row r="129" spans="2:32" s="190" customFormat="1" ht="19.95" customHeight="1">
      <c r="B129" s="505"/>
      <c r="C129" s="481"/>
      <c r="D129" s="473"/>
      <c r="E129" s="363" t="s">
        <v>273</v>
      </c>
      <c r="F129" s="261" t="s">
        <v>1</v>
      </c>
      <c r="G129" s="96">
        <v>0</v>
      </c>
      <c r="H129" s="96">
        <v>0</v>
      </c>
      <c r="I129" s="96">
        <v>0</v>
      </c>
      <c r="J129" s="96">
        <v>0</v>
      </c>
      <c r="K129" s="484"/>
      <c r="L129" s="513"/>
      <c r="M129" s="567"/>
      <c r="N129" s="418"/>
      <c r="O129" s="418"/>
      <c r="P129" s="418"/>
    </row>
    <row r="130" spans="2:32" s="190" customFormat="1" ht="19.95" customHeight="1">
      <c r="B130" s="505"/>
      <c r="C130" s="481"/>
      <c r="D130" s="493"/>
      <c r="E130" s="364" t="s">
        <v>274</v>
      </c>
      <c r="F130" s="141" t="s">
        <v>1</v>
      </c>
      <c r="G130" s="96">
        <v>0</v>
      </c>
      <c r="H130" s="96">
        <v>0</v>
      </c>
      <c r="I130" s="96">
        <v>0</v>
      </c>
      <c r="J130" s="96">
        <v>0</v>
      </c>
      <c r="K130" s="510"/>
      <c r="L130" s="514"/>
      <c r="M130" s="568"/>
      <c r="N130" s="419"/>
      <c r="O130" s="420"/>
      <c r="P130" s="420"/>
    </row>
    <row r="131" spans="2:32" s="190" customFormat="1" ht="19.95" customHeight="1">
      <c r="B131" s="505"/>
      <c r="C131" s="481"/>
      <c r="D131" s="492" t="s">
        <v>279</v>
      </c>
      <c r="E131" s="367" t="s">
        <v>280</v>
      </c>
      <c r="F131" s="135" t="s">
        <v>1</v>
      </c>
      <c r="G131" s="146">
        <v>70.45</v>
      </c>
      <c r="H131" s="146">
        <v>69.760000000000005</v>
      </c>
      <c r="I131" s="146">
        <v>68.92</v>
      </c>
      <c r="J131" s="146">
        <v>68.33</v>
      </c>
      <c r="K131" s="460" t="s">
        <v>89</v>
      </c>
      <c r="L131" s="512" t="s">
        <v>265</v>
      </c>
      <c r="M131" s="560"/>
    </row>
    <row r="132" spans="2:32" s="190" customFormat="1" ht="19.95" customHeight="1">
      <c r="B132" s="505"/>
      <c r="C132" s="481"/>
      <c r="D132" s="473"/>
      <c r="E132" s="363" t="s">
        <v>281</v>
      </c>
      <c r="F132" s="261" t="s">
        <v>1</v>
      </c>
      <c r="G132" s="138">
        <v>27.46</v>
      </c>
      <c r="H132" s="138">
        <v>28.19</v>
      </c>
      <c r="I132" s="138">
        <v>29.01</v>
      </c>
      <c r="J132" s="138">
        <v>29.62</v>
      </c>
      <c r="K132" s="484"/>
      <c r="L132" s="513"/>
      <c r="M132" s="561"/>
    </row>
    <row r="133" spans="2:32" s="190" customFormat="1" ht="19.95" customHeight="1">
      <c r="B133" s="505"/>
      <c r="C133" s="481"/>
      <c r="D133" s="473"/>
      <c r="E133" s="363" t="s">
        <v>282</v>
      </c>
      <c r="F133" s="261" t="s">
        <v>1</v>
      </c>
      <c r="G133" s="138">
        <v>1.37</v>
      </c>
      <c r="H133" s="138">
        <v>1.25</v>
      </c>
      <c r="I133" s="138">
        <v>1.31</v>
      </c>
      <c r="J133" s="138">
        <v>1.44</v>
      </c>
      <c r="K133" s="484"/>
      <c r="L133" s="513"/>
      <c r="M133" s="561"/>
    </row>
    <row r="134" spans="2:32" s="190" customFormat="1" ht="19.95" customHeight="1">
      <c r="B134" s="505"/>
      <c r="C134" s="481"/>
      <c r="D134" s="473"/>
      <c r="E134" s="363" t="s">
        <v>283</v>
      </c>
      <c r="F134" s="261" t="s">
        <v>1</v>
      </c>
      <c r="G134" s="138">
        <v>0.14000000000000001</v>
      </c>
      <c r="H134" s="138">
        <v>0.14000000000000001</v>
      </c>
      <c r="I134" s="138">
        <v>0.14000000000000001</v>
      </c>
      <c r="J134" s="138">
        <v>0.14000000000000001</v>
      </c>
      <c r="K134" s="484"/>
      <c r="L134" s="513"/>
      <c r="M134" s="561"/>
    </row>
    <row r="135" spans="2:32" s="190" customFormat="1" ht="19.95" customHeight="1">
      <c r="B135" s="505"/>
      <c r="C135" s="481"/>
      <c r="D135" s="493"/>
      <c r="E135" s="364" t="s">
        <v>284</v>
      </c>
      <c r="F135" s="141" t="s">
        <v>1</v>
      </c>
      <c r="G135" s="142">
        <v>0.57999999999999996</v>
      </c>
      <c r="H135" s="142">
        <v>0.66</v>
      </c>
      <c r="I135" s="142">
        <v>0.62</v>
      </c>
      <c r="J135" s="142">
        <v>0.47</v>
      </c>
      <c r="K135" s="510"/>
      <c r="L135" s="514"/>
      <c r="M135" s="562"/>
    </row>
    <row r="136" spans="2:32" s="190" customFormat="1" ht="19.95" customHeight="1">
      <c r="B136" s="505"/>
      <c r="C136" s="481"/>
      <c r="D136" s="492" t="s">
        <v>285</v>
      </c>
      <c r="E136" s="367" t="s">
        <v>267</v>
      </c>
      <c r="F136" s="135" t="s">
        <v>1</v>
      </c>
      <c r="G136" s="145">
        <v>4.8600000000000003</v>
      </c>
      <c r="H136" s="145">
        <v>3.14</v>
      </c>
      <c r="I136" s="145">
        <v>3.45</v>
      </c>
      <c r="J136" s="145">
        <v>5.48</v>
      </c>
      <c r="K136" s="460" t="s">
        <v>89</v>
      </c>
      <c r="L136" s="512" t="s">
        <v>265</v>
      </c>
      <c r="M136" s="566" t="s">
        <v>712</v>
      </c>
    </row>
    <row r="137" spans="2:32" s="190" customFormat="1" ht="19.95" customHeight="1">
      <c r="B137" s="505"/>
      <c r="C137" s="481"/>
      <c r="D137" s="473"/>
      <c r="E137" s="363" t="s">
        <v>268</v>
      </c>
      <c r="F137" s="261" t="s">
        <v>1</v>
      </c>
      <c r="G137" s="96">
        <v>7.52</v>
      </c>
      <c r="H137" s="96">
        <v>6.93</v>
      </c>
      <c r="I137" s="96">
        <v>5.94</v>
      </c>
      <c r="J137" s="96">
        <v>8</v>
      </c>
      <c r="K137" s="484"/>
      <c r="L137" s="513"/>
      <c r="M137" s="567"/>
    </row>
    <row r="138" spans="2:32" s="190" customFormat="1" ht="19.95" customHeight="1">
      <c r="B138" s="505"/>
      <c r="C138" s="481"/>
      <c r="D138" s="473"/>
      <c r="E138" s="363" t="s">
        <v>269</v>
      </c>
      <c r="F138" s="261" t="s">
        <v>1</v>
      </c>
      <c r="G138" s="96">
        <v>22.07</v>
      </c>
      <c r="H138" s="96">
        <v>22.55</v>
      </c>
      <c r="I138" s="96">
        <v>23.3</v>
      </c>
      <c r="J138" s="96">
        <v>23.56</v>
      </c>
      <c r="K138" s="484"/>
      <c r="L138" s="513"/>
      <c r="M138" s="567"/>
    </row>
    <row r="139" spans="2:32" s="190" customFormat="1" ht="19.95" customHeight="1">
      <c r="B139" s="505"/>
      <c r="C139" s="481"/>
      <c r="D139" s="473"/>
      <c r="E139" s="283" t="s">
        <v>270</v>
      </c>
      <c r="F139" s="261" t="s">
        <v>1</v>
      </c>
      <c r="G139" s="96">
        <v>27.22</v>
      </c>
      <c r="H139" s="96">
        <v>27.98</v>
      </c>
      <c r="I139" s="96">
        <v>28.53</v>
      </c>
      <c r="J139" s="96">
        <v>29.34</v>
      </c>
      <c r="K139" s="484"/>
      <c r="L139" s="513"/>
      <c r="M139" s="567"/>
    </row>
    <row r="140" spans="2:32" s="190" customFormat="1" ht="19.95" customHeight="1">
      <c r="B140" s="505"/>
      <c r="C140" s="481"/>
      <c r="D140" s="473"/>
      <c r="E140" s="283" t="s">
        <v>271</v>
      </c>
      <c r="F140" s="261" t="s">
        <v>1</v>
      </c>
      <c r="G140" s="96">
        <v>24.26</v>
      </c>
      <c r="H140" s="96">
        <v>25.3</v>
      </c>
      <c r="I140" s="96">
        <v>26.38</v>
      </c>
      <c r="J140" s="96">
        <v>27.52</v>
      </c>
      <c r="K140" s="484"/>
      <c r="L140" s="513"/>
      <c r="M140" s="567"/>
    </row>
    <row r="141" spans="2:32" s="190" customFormat="1" ht="19.95" customHeight="1">
      <c r="B141" s="505"/>
      <c r="C141" s="481"/>
      <c r="D141" s="473"/>
      <c r="E141" s="363" t="s">
        <v>272</v>
      </c>
      <c r="F141" s="261" t="s">
        <v>1</v>
      </c>
      <c r="G141" s="96">
        <v>34.47</v>
      </c>
      <c r="H141" s="96">
        <v>35.369999999999997</v>
      </c>
      <c r="I141" s="96">
        <v>36.119999999999997</v>
      </c>
      <c r="J141" s="96">
        <v>36.729999999999997</v>
      </c>
      <c r="K141" s="484"/>
      <c r="L141" s="513"/>
      <c r="M141" s="567"/>
    </row>
    <row r="142" spans="2:32" s="190" customFormat="1" ht="19.95" customHeight="1">
      <c r="B142" s="505"/>
      <c r="C142" s="481"/>
      <c r="D142" s="473"/>
      <c r="E142" s="363" t="s">
        <v>273</v>
      </c>
      <c r="F142" s="261" t="s">
        <v>1</v>
      </c>
      <c r="G142" s="96">
        <v>46.87</v>
      </c>
      <c r="H142" s="96">
        <v>42.75</v>
      </c>
      <c r="I142" s="96">
        <v>43.75</v>
      </c>
      <c r="J142" s="96">
        <v>43.62</v>
      </c>
      <c r="K142" s="484"/>
      <c r="L142" s="513"/>
      <c r="M142" s="567"/>
    </row>
    <row r="143" spans="2:32" s="190" customFormat="1" ht="19.95" customHeight="1">
      <c r="B143" s="505"/>
      <c r="C143" s="481"/>
      <c r="D143" s="493"/>
      <c r="E143" s="364" t="s">
        <v>274</v>
      </c>
      <c r="F143" s="141" t="s">
        <v>1</v>
      </c>
      <c r="G143" s="150">
        <v>31.24</v>
      </c>
      <c r="H143" s="150">
        <v>33.68</v>
      </c>
      <c r="I143" s="150">
        <v>32.200000000000003</v>
      </c>
      <c r="J143" s="150">
        <v>30.73</v>
      </c>
      <c r="K143" s="510"/>
      <c r="L143" s="514"/>
      <c r="M143" s="568"/>
      <c r="N143" s="421"/>
      <c r="O143" s="421"/>
      <c r="P143" s="421"/>
      <c r="Q143" s="554"/>
      <c r="R143" s="554"/>
      <c r="S143" s="554"/>
      <c r="T143" s="554"/>
      <c r="U143" s="554"/>
      <c r="V143" s="554"/>
      <c r="W143" s="554"/>
      <c r="X143" s="554"/>
      <c r="Y143" s="554"/>
      <c r="Z143" s="554"/>
      <c r="AA143" s="554"/>
      <c r="AB143" s="554"/>
      <c r="AC143" s="554"/>
      <c r="AD143" s="554"/>
      <c r="AE143" s="554"/>
      <c r="AF143" s="554"/>
    </row>
    <row r="144" spans="2:32" s="190" customFormat="1" ht="19.95" customHeight="1">
      <c r="B144" s="505"/>
      <c r="C144" s="481"/>
      <c r="D144" s="492" t="s">
        <v>286</v>
      </c>
      <c r="E144" s="367" t="s">
        <v>267</v>
      </c>
      <c r="F144" s="135" t="s">
        <v>1</v>
      </c>
      <c r="G144" s="145">
        <v>0</v>
      </c>
      <c r="H144" s="145">
        <v>0</v>
      </c>
      <c r="I144" s="145">
        <v>0</v>
      </c>
      <c r="J144" s="145">
        <v>0</v>
      </c>
      <c r="K144" s="460" t="s">
        <v>89</v>
      </c>
      <c r="L144" s="500" t="s">
        <v>256</v>
      </c>
      <c r="M144" s="566" t="s">
        <v>712</v>
      </c>
      <c r="N144" s="421"/>
      <c r="O144" s="421"/>
      <c r="P144" s="421"/>
      <c r="Q144" s="421"/>
      <c r="R144" s="421"/>
      <c r="S144" s="421"/>
      <c r="T144" s="421"/>
      <c r="U144" s="421"/>
      <c r="V144" s="421"/>
      <c r="W144" s="421"/>
      <c r="X144" s="421"/>
      <c r="Y144" s="421"/>
      <c r="Z144" s="421"/>
      <c r="AA144" s="421"/>
      <c r="AB144" s="421"/>
      <c r="AC144" s="421"/>
      <c r="AD144" s="421"/>
      <c r="AE144" s="421"/>
      <c r="AF144" s="421"/>
    </row>
    <row r="145" spans="2:32" s="190" customFormat="1" ht="19.95" customHeight="1">
      <c r="B145" s="505"/>
      <c r="C145" s="481"/>
      <c r="D145" s="473"/>
      <c r="E145" s="363" t="s">
        <v>268</v>
      </c>
      <c r="F145" s="261" t="s">
        <v>1</v>
      </c>
      <c r="G145" s="96">
        <v>0</v>
      </c>
      <c r="H145" s="96">
        <v>0</v>
      </c>
      <c r="I145" s="96">
        <v>0</v>
      </c>
      <c r="J145" s="96">
        <v>0</v>
      </c>
      <c r="K145" s="484"/>
      <c r="L145" s="502"/>
      <c r="M145" s="567"/>
      <c r="N145" s="422"/>
      <c r="O145" s="422"/>
      <c r="P145" s="422"/>
      <c r="Q145" s="422"/>
      <c r="R145" s="422"/>
      <c r="S145" s="422"/>
      <c r="T145" s="422"/>
      <c r="U145" s="422"/>
      <c r="V145" s="422"/>
      <c r="W145" s="422"/>
      <c r="X145" s="422"/>
      <c r="Y145" s="422"/>
      <c r="Z145" s="422"/>
      <c r="AA145" s="422"/>
      <c r="AB145" s="422"/>
      <c r="AC145" s="422"/>
      <c r="AD145" s="422"/>
      <c r="AE145" s="422"/>
      <c r="AF145" s="422"/>
    </row>
    <row r="146" spans="2:32" s="190" customFormat="1" ht="19.95" customHeight="1">
      <c r="B146" s="505"/>
      <c r="C146" s="481"/>
      <c r="D146" s="473"/>
      <c r="E146" s="363" t="s">
        <v>269</v>
      </c>
      <c r="F146" s="261" t="s">
        <v>1</v>
      </c>
      <c r="G146" s="96">
        <v>0.13</v>
      </c>
      <c r="H146" s="96">
        <v>0.13</v>
      </c>
      <c r="I146" s="96">
        <v>0.13</v>
      </c>
      <c r="J146" s="96">
        <v>0.13</v>
      </c>
      <c r="K146" s="484"/>
      <c r="L146" s="502"/>
      <c r="M146" s="567"/>
      <c r="N146" s="422"/>
      <c r="O146" s="422"/>
      <c r="P146" s="422"/>
      <c r="Q146" s="422"/>
      <c r="R146" s="422"/>
      <c r="S146" s="422"/>
      <c r="T146" s="422"/>
      <c r="U146" s="422"/>
      <c r="V146" s="422"/>
      <c r="W146" s="422"/>
      <c r="X146" s="422"/>
      <c r="Y146" s="422"/>
      <c r="Z146" s="422"/>
      <c r="AA146" s="422"/>
      <c r="AB146" s="422"/>
      <c r="AC146" s="422"/>
      <c r="AD146" s="422"/>
      <c r="AE146" s="422"/>
      <c r="AF146" s="422"/>
    </row>
    <row r="147" spans="2:32" s="190" customFormat="1" ht="19.95" customHeight="1">
      <c r="B147" s="505"/>
      <c r="C147" s="481"/>
      <c r="D147" s="473"/>
      <c r="E147" s="283" t="s">
        <v>270</v>
      </c>
      <c r="F147" s="261" t="s">
        <v>1</v>
      </c>
      <c r="G147" s="96">
        <v>0.12</v>
      </c>
      <c r="H147" s="96">
        <v>0.08</v>
      </c>
      <c r="I147" s="96">
        <v>0.12</v>
      </c>
      <c r="J147" s="96">
        <v>0.13</v>
      </c>
      <c r="K147" s="484"/>
      <c r="L147" s="502"/>
      <c r="M147" s="567"/>
      <c r="N147" s="422"/>
      <c r="O147" s="422"/>
      <c r="P147" s="422"/>
      <c r="Q147" s="422"/>
      <c r="R147" s="422"/>
      <c r="S147" s="422"/>
      <c r="T147" s="422"/>
      <c r="U147" s="422"/>
      <c r="V147" s="422"/>
      <c r="W147" s="422"/>
      <c r="X147" s="422"/>
      <c r="Y147" s="422"/>
      <c r="Z147" s="422"/>
      <c r="AA147" s="422"/>
      <c r="AB147" s="422"/>
      <c r="AC147" s="422"/>
      <c r="AD147" s="422"/>
      <c r="AE147" s="422"/>
      <c r="AF147" s="422"/>
    </row>
    <row r="148" spans="2:32" s="190" customFormat="1" ht="19.95" customHeight="1">
      <c r="B148" s="505"/>
      <c r="C148" s="481"/>
      <c r="D148" s="473"/>
      <c r="E148" s="283" t="s">
        <v>271</v>
      </c>
      <c r="F148" s="261" t="s">
        <v>1</v>
      </c>
      <c r="G148" s="96">
        <v>0.15</v>
      </c>
      <c r="H148" s="96">
        <v>0.15</v>
      </c>
      <c r="I148" s="96">
        <v>0.13</v>
      </c>
      <c r="J148" s="96">
        <v>0.13</v>
      </c>
      <c r="K148" s="484"/>
      <c r="L148" s="502"/>
      <c r="M148" s="567"/>
      <c r="N148" s="422"/>
      <c r="O148" s="422"/>
      <c r="P148" s="422"/>
      <c r="Q148" s="422"/>
      <c r="R148" s="422"/>
      <c r="S148" s="422"/>
      <c r="T148" s="422"/>
      <c r="U148" s="422"/>
      <c r="V148" s="422"/>
      <c r="W148" s="422"/>
      <c r="X148" s="422"/>
      <c r="Y148" s="422"/>
      <c r="Z148" s="422"/>
      <c r="AA148" s="422"/>
      <c r="AB148" s="422"/>
      <c r="AC148" s="422"/>
      <c r="AD148" s="422"/>
      <c r="AE148" s="422"/>
      <c r="AF148" s="422"/>
    </row>
    <row r="149" spans="2:32" s="190" customFormat="1" ht="19.95" customHeight="1">
      <c r="B149" s="505"/>
      <c r="C149" s="481"/>
      <c r="D149" s="473"/>
      <c r="E149" s="363" t="s">
        <v>272</v>
      </c>
      <c r="F149" s="261" t="s">
        <v>1</v>
      </c>
      <c r="G149" s="96">
        <v>0.15</v>
      </c>
      <c r="H149" s="96">
        <v>0.15</v>
      </c>
      <c r="I149" s="96">
        <v>0.17</v>
      </c>
      <c r="J149" s="96">
        <v>0.18</v>
      </c>
      <c r="K149" s="484"/>
      <c r="L149" s="502"/>
      <c r="M149" s="567"/>
      <c r="N149" s="422"/>
      <c r="O149" s="422"/>
      <c r="P149" s="422"/>
      <c r="Q149" s="422"/>
      <c r="R149" s="422"/>
      <c r="S149" s="422"/>
      <c r="T149" s="422"/>
      <c r="U149" s="422"/>
      <c r="V149" s="422"/>
      <c r="W149" s="422"/>
      <c r="X149" s="422"/>
      <c r="Y149" s="422"/>
      <c r="Z149" s="422"/>
      <c r="AA149" s="422"/>
      <c r="AB149" s="422"/>
      <c r="AC149" s="422"/>
      <c r="AD149" s="422"/>
      <c r="AE149" s="422"/>
      <c r="AF149" s="422"/>
    </row>
    <row r="150" spans="2:32" s="190" customFormat="1" ht="19.95" customHeight="1">
      <c r="B150" s="505"/>
      <c r="C150" s="481"/>
      <c r="D150" s="473"/>
      <c r="E150" s="363" t="s">
        <v>273</v>
      </c>
      <c r="F150" s="261" t="s">
        <v>1</v>
      </c>
      <c r="G150" s="96">
        <v>0</v>
      </c>
      <c r="H150" s="96">
        <v>0</v>
      </c>
      <c r="I150" s="96">
        <v>0.23</v>
      </c>
      <c r="J150" s="96">
        <v>0.19</v>
      </c>
      <c r="K150" s="484"/>
      <c r="L150" s="502"/>
      <c r="M150" s="567"/>
      <c r="N150" s="422"/>
      <c r="O150" s="422"/>
      <c r="P150" s="422"/>
      <c r="Q150" s="422"/>
      <c r="R150" s="422"/>
      <c r="S150" s="422"/>
      <c r="T150" s="422"/>
      <c r="U150" s="422"/>
      <c r="V150" s="422"/>
      <c r="W150" s="422"/>
      <c r="X150" s="422"/>
      <c r="Y150" s="422"/>
      <c r="Z150" s="422"/>
      <c r="AA150" s="422"/>
      <c r="AB150" s="422"/>
      <c r="AC150" s="422"/>
      <c r="AD150" s="422"/>
      <c r="AE150" s="422"/>
      <c r="AF150" s="422"/>
    </row>
    <row r="151" spans="2:32" s="190" customFormat="1" ht="19.95" customHeight="1">
      <c r="B151" s="505"/>
      <c r="C151" s="481"/>
      <c r="D151" s="493"/>
      <c r="E151" s="364" t="s">
        <v>274</v>
      </c>
      <c r="F151" s="141" t="s">
        <v>1</v>
      </c>
      <c r="G151" s="150">
        <v>0</v>
      </c>
      <c r="H151" s="150">
        <v>0.26</v>
      </c>
      <c r="I151" s="150">
        <v>0.16</v>
      </c>
      <c r="J151" s="150">
        <v>0.08</v>
      </c>
      <c r="K151" s="510"/>
      <c r="L151" s="503"/>
      <c r="M151" s="568"/>
      <c r="N151" s="422"/>
      <c r="O151" s="422"/>
      <c r="P151" s="422"/>
      <c r="Q151" s="422"/>
      <c r="R151" s="422"/>
      <c r="S151" s="422"/>
      <c r="T151" s="422"/>
      <c r="U151" s="422"/>
      <c r="V151" s="422"/>
      <c r="W151" s="422"/>
      <c r="X151" s="422"/>
      <c r="Y151" s="422"/>
      <c r="Z151" s="422"/>
      <c r="AA151" s="422"/>
      <c r="AB151" s="422"/>
      <c r="AC151" s="422"/>
      <c r="AD151" s="422"/>
      <c r="AE151" s="422"/>
      <c r="AF151" s="422"/>
    </row>
    <row r="152" spans="2:32" s="190" customFormat="1" ht="19.95" customHeight="1">
      <c r="B152" s="505"/>
      <c r="C152" s="481"/>
      <c r="D152" s="492" t="s">
        <v>287</v>
      </c>
      <c r="E152" s="367" t="s">
        <v>267</v>
      </c>
      <c r="F152" s="135" t="s">
        <v>1</v>
      </c>
      <c r="G152" s="145">
        <v>2.08</v>
      </c>
      <c r="H152" s="145">
        <v>1.89</v>
      </c>
      <c r="I152" s="145">
        <v>2.0699999999999998</v>
      </c>
      <c r="J152" s="145">
        <v>0.68</v>
      </c>
      <c r="K152" s="460" t="s">
        <v>89</v>
      </c>
      <c r="L152" s="500" t="s">
        <v>256</v>
      </c>
      <c r="M152" s="566" t="s">
        <v>712</v>
      </c>
      <c r="N152" s="422"/>
      <c r="O152" s="422"/>
      <c r="P152" s="422"/>
      <c r="Q152" s="422"/>
      <c r="R152" s="422"/>
      <c r="S152" s="422"/>
      <c r="T152" s="422"/>
      <c r="U152" s="422"/>
      <c r="V152" s="422"/>
      <c r="W152" s="422"/>
      <c r="X152" s="422"/>
      <c r="Y152" s="422"/>
      <c r="Z152" s="422"/>
      <c r="AA152" s="422"/>
      <c r="AB152" s="422"/>
      <c r="AC152" s="422"/>
      <c r="AD152" s="422"/>
      <c r="AE152" s="422"/>
      <c r="AF152" s="422"/>
    </row>
    <row r="153" spans="2:32" s="190" customFormat="1" ht="19.95" customHeight="1">
      <c r="B153" s="505"/>
      <c r="C153" s="481"/>
      <c r="D153" s="473"/>
      <c r="E153" s="363" t="s">
        <v>268</v>
      </c>
      <c r="F153" s="261" t="s">
        <v>1</v>
      </c>
      <c r="G153" s="96">
        <v>3.1</v>
      </c>
      <c r="H153" s="96">
        <v>2.6</v>
      </c>
      <c r="I153" s="96">
        <v>2.2799999999999998</v>
      </c>
      <c r="J153" s="96">
        <v>1.85</v>
      </c>
      <c r="K153" s="484"/>
      <c r="L153" s="502"/>
      <c r="M153" s="567"/>
      <c r="N153" s="422"/>
      <c r="O153" s="422"/>
      <c r="P153" s="422"/>
      <c r="Q153" s="422"/>
      <c r="R153" s="422"/>
      <c r="S153" s="422"/>
      <c r="T153" s="422"/>
      <c r="U153" s="422"/>
      <c r="V153" s="422"/>
      <c r="W153" s="422"/>
      <c r="X153" s="422"/>
      <c r="Y153" s="422"/>
      <c r="Z153" s="422"/>
      <c r="AA153" s="422"/>
      <c r="AB153" s="422"/>
      <c r="AC153" s="422"/>
      <c r="AD153" s="422"/>
      <c r="AE153" s="422"/>
      <c r="AF153" s="422"/>
    </row>
    <row r="154" spans="2:32" s="190" customFormat="1" ht="19.95" customHeight="1">
      <c r="B154" s="505"/>
      <c r="C154" s="481"/>
      <c r="D154" s="473"/>
      <c r="E154" s="363" t="s">
        <v>269</v>
      </c>
      <c r="F154" s="261" t="s">
        <v>1</v>
      </c>
      <c r="G154" s="96">
        <v>1.93</v>
      </c>
      <c r="H154" s="96">
        <v>1.8</v>
      </c>
      <c r="I154" s="96">
        <v>1.86</v>
      </c>
      <c r="J154" s="96">
        <v>1.93</v>
      </c>
      <c r="K154" s="484"/>
      <c r="L154" s="502"/>
      <c r="M154" s="567"/>
    </row>
    <row r="155" spans="2:32" s="190" customFormat="1" ht="19.95" customHeight="1">
      <c r="B155" s="505"/>
      <c r="C155" s="481"/>
      <c r="D155" s="473"/>
      <c r="E155" s="283" t="s">
        <v>270</v>
      </c>
      <c r="F155" s="261" t="s">
        <v>1</v>
      </c>
      <c r="G155" s="96">
        <v>1.35</v>
      </c>
      <c r="H155" s="96">
        <v>1.4</v>
      </c>
      <c r="I155" s="96">
        <v>1.4</v>
      </c>
      <c r="J155" s="96">
        <v>1.37</v>
      </c>
      <c r="K155" s="484"/>
      <c r="L155" s="502"/>
      <c r="M155" s="567"/>
    </row>
    <row r="156" spans="2:32" s="190" customFormat="1" ht="19.95" customHeight="1">
      <c r="B156" s="505"/>
      <c r="C156" s="481"/>
      <c r="D156" s="473"/>
      <c r="E156" s="283" t="s">
        <v>271</v>
      </c>
      <c r="F156" s="261" t="s">
        <v>1</v>
      </c>
      <c r="G156" s="96">
        <v>1.6</v>
      </c>
      <c r="H156" s="96">
        <v>1.49</v>
      </c>
      <c r="I156" s="96">
        <v>1.53</v>
      </c>
      <c r="J156" s="96">
        <v>1.64</v>
      </c>
      <c r="K156" s="484"/>
      <c r="L156" s="502"/>
      <c r="M156" s="567"/>
    </row>
    <row r="157" spans="2:32" s="190" customFormat="1" ht="19.95" customHeight="1">
      <c r="B157" s="505"/>
      <c r="C157" s="481"/>
      <c r="D157" s="473"/>
      <c r="E157" s="363" t="s">
        <v>272</v>
      </c>
      <c r="F157" s="261" t="s">
        <v>1</v>
      </c>
      <c r="G157" s="96">
        <v>0.88</v>
      </c>
      <c r="H157" s="96">
        <v>0.67</v>
      </c>
      <c r="I157" s="96">
        <v>0.7</v>
      </c>
      <c r="J157" s="96">
        <v>0.8</v>
      </c>
      <c r="K157" s="484"/>
      <c r="L157" s="502"/>
      <c r="M157" s="567"/>
    </row>
    <row r="158" spans="2:32" s="190" customFormat="1" ht="19.95" customHeight="1">
      <c r="B158" s="505"/>
      <c r="C158" s="481"/>
      <c r="D158" s="473"/>
      <c r="E158" s="363" t="s">
        <v>273</v>
      </c>
      <c r="F158" s="261" t="s">
        <v>1</v>
      </c>
      <c r="G158" s="96">
        <v>0</v>
      </c>
      <c r="H158" s="96">
        <v>0</v>
      </c>
      <c r="I158" s="96">
        <v>0.69</v>
      </c>
      <c r="J158" s="96">
        <v>0.95</v>
      </c>
      <c r="K158" s="484"/>
      <c r="L158" s="502"/>
      <c r="M158" s="567"/>
    </row>
    <row r="159" spans="2:32" s="190" customFormat="1" ht="19.95" customHeight="1">
      <c r="B159" s="505"/>
      <c r="C159" s="481"/>
      <c r="D159" s="493"/>
      <c r="E159" s="364" t="s">
        <v>274</v>
      </c>
      <c r="F159" s="141" t="s">
        <v>1</v>
      </c>
      <c r="G159" s="96">
        <v>0</v>
      </c>
      <c r="H159" s="96">
        <v>0</v>
      </c>
      <c r="I159" s="96">
        <v>0.84</v>
      </c>
      <c r="J159" s="96">
        <v>1.93</v>
      </c>
      <c r="K159" s="510"/>
      <c r="L159" s="503"/>
      <c r="M159" s="568"/>
    </row>
    <row r="160" spans="2:32" s="190" customFormat="1" ht="45" customHeight="1">
      <c r="B160" s="505"/>
      <c r="C160" s="481"/>
      <c r="D160" s="423" t="s">
        <v>288</v>
      </c>
      <c r="E160" s="424" t="s">
        <v>289</v>
      </c>
      <c r="F160" s="151" t="s">
        <v>1</v>
      </c>
      <c r="G160" s="152">
        <v>4.76</v>
      </c>
      <c r="H160" s="152">
        <v>4.59</v>
      </c>
      <c r="I160" s="152">
        <v>4.71</v>
      </c>
      <c r="J160" s="152">
        <v>4.6100000000000003</v>
      </c>
      <c r="K160" s="293" t="s">
        <v>17</v>
      </c>
      <c r="L160" s="333" t="s">
        <v>257</v>
      </c>
      <c r="M160" s="393"/>
    </row>
    <row r="161" spans="2:13" s="190" customFormat="1" ht="19.95" customHeight="1">
      <c r="B161" s="505"/>
      <c r="C161" s="481"/>
      <c r="D161" s="492" t="s">
        <v>290</v>
      </c>
      <c r="E161" s="367" t="s">
        <v>267</v>
      </c>
      <c r="F161" s="135" t="s">
        <v>1</v>
      </c>
      <c r="G161" s="145">
        <v>0</v>
      </c>
      <c r="H161" s="145">
        <v>0</v>
      </c>
      <c r="I161" s="145">
        <v>0</v>
      </c>
      <c r="J161" s="145">
        <v>0</v>
      </c>
      <c r="K161" s="460" t="s">
        <v>17</v>
      </c>
      <c r="L161" s="512" t="s">
        <v>257</v>
      </c>
      <c r="M161" s="560" t="s">
        <v>712</v>
      </c>
    </row>
    <row r="162" spans="2:13" s="190" customFormat="1" ht="19.95" customHeight="1">
      <c r="B162" s="505"/>
      <c r="C162" s="481"/>
      <c r="D162" s="473"/>
      <c r="E162" s="363" t="s">
        <v>268</v>
      </c>
      <c r="F162" s="261" t="s">
        <v>1</v>
      </c>
      <c r="G162" s="96">
        <v>0</v>
      </c>
      <c r="H162" s="96">
        <v>0</v>
      </c>
      <c r="I162" s="96">
        <v>0</v>
      </c>
      <c r="J162" s="96">
        <v>0</v>
      </c>
      <c r="K162" s="484"/>
      <c r="L162" s="513"/>
      <c r="M162" s="561"/>
    </row>
    <row r="163" spans="2:13" s="190" customFormat="1" ht="19.95" customHeight="1">
      <c r="B163" s="505"/>
      <c r="C163" s="481"/>
      <c r="D163" s="473"/>
      <c r="E163" s="363" t="s">
        <v>269</v>
      </c>
      <c r="F163" s="261" t="s">
        <v>1</v>
      </c>
      <c r="G163" s="96">
        <v>0.79</v>
      </c>
      <c r="H163" s="96">
        <v>0.87</v>
      </c>
      <c r="I163" s="96">
        <v>1.05</v>
      </c>
      <c r="J163" s="96">
        <v>1.1000000000000001</v>
      </c>
      <c r="K163" s="484"/>
      <c r="L163" s="513"/>
      <c r="M163" s="561"/>
    </row>
    <row r="164" spans="2:13" s="190" customFormat="1" ht="19.95" customHeight="1">
      <c r="B164" s="505"/>
      <c r="C164" s="481"/>
      <c r="D164" s="473"/>
      <c r="E164" s="283" t="s">
        <v>270</v>
      </c>
      <c r="F164" s="261" t="s">
        <v>1</v>
      </c>
      <c r="G164" s="96">
        <v>3.78</v>
      </c>
      <c r="H164" s="96">
        <v>4.62</v>
      </c>
      <c r="I164" s="96">
        <v>4.8899999999999997</v>
      </c>
      <c r="J164" s="96">
        <v>4.72</v>
      </c>
      <c r="K164" s="484"/>
      <c r="L164" s="513"/>
      <c r="M164" s="561"/>
    </row>
    <row r="165" spans="2:13" s="190" customFormat="1" ht="19.95" customHeight="1">
      <c r="B165" s="505"/>
      <c r="C165" s="481"/>
      <c r="D165" s="473"/>
      <c r="E165" s="283" t="s">
        <v>271</v>
      </c>
      <c r="F165" s="261" t="s">
        <v>1</v>
      </c>
      <c r="G165" s="96">
        <v>1.92</v>
      </c>
      <c r="H165" s="96">
        <v>2.0299999999999998</v>
      </c>
      <c r="I165" s="96">
        <v>2.19</v>
      </c>
      <c r="J165" s="96">
        <v>2.33</v>
      </c>
      <c r="K165" s="484"/>
      <c r="L165" s="513"/>
      <c r="M165" s="561"/>
    </row>
    <row r="166" spans="2:13" s="190" customFormat="1" ht="19.95" customHeight="1">
      <c r="B166" s="505"/>
      <c r="C166" s="481"/>
      <c r="D166" s="473"/>
      <c r="E166" s="363" t="s">
        <v>272</v>
      </c>
      <c r="F166" s="261" t="s">
        <v>1</v>
      </c>
      <c r="G166" s="96">
        <v>11.91</v>
      </c>
      <c r="H166" s="96">
        <v>11.12</v>
      </c>
      <c r="I166" s="96">
        <v>11.39</v>
      </c>
      <c r="J166" s="96">
        <v>11.41</v>
      </c>
      <c r="K166" s="484"/>
      <c r="L166" s="513"/>
      <c r="M166" s="561"/>
    </row>
    <row r="167" spans="2:13" s="190" customFormat="1" ht="19.95" customHeight="1">
      <c r="B167" s="505"/>
      <c r="C167" s="481"/>
      <c r="D167" s="473"/>
      <c r="E167" s="363" t="s">
        <v>273</v>
      </c>
      <c r="F167" s="261" t="s">
        <v>1</v>
      </c>
      <c r="G167" s="96">
        <v>0</v>
      </c>
      <c r="H167" s="96">
        <v>0</v>
      </c>
      <c r="I167" s="96">
        <v>0</v>
      </c>
      <c r="J167" s="96">
        <v>0</v>
      </c>
      <c r="K167" s="484"/>
      <c r="L167" s="513"/>
      <c r="M167" s="561"/>
    </row>
    <row r="168" spans="2:13" s="190" customFormat="1" ht="19.95" customHeight="1">
      <c r="B168" s="505"/>
      <c r="C168" s="481"/>
      <c r="D168" s="493"/>
      <c r="E168" s="364" t="s">
        <v>274</v>
      </c>
      <c r="F168" s="141" t="s">
        <v>1</v>
      </c>
      <c r="G168" s="150">
        <v>0</v>
      </c>
      <c r="H168" s="150">
        <v>0</v>
      </c>
      <c r="I168" s="150">
        <v>0.4</v>
      </c>
      <c r="J168" s="150">
        <v>0.83</v>
      </c>
      <c r="K168" s="510"/>
      <c r="L168" s="514"/>
      <c r="M168" s="562"/>
    </row>
    <row r="169" spans="2:13" s="190" customFormat="1" ht="19.95" customHeight="1">
      <c r="B169" s="505"/>
      <c r="C169" s="481"/>
      <c r="D169" s="532" t="s">
        <v>295</v>
      </c>
      <c r="E169" s="367" t="s">
        <v>250</v>
      </c>
      <c r="F169" s="135" t="s">
        <v>1</v>
      </c>
      <c r="G169" s="145">
        <v>4.79</v>
      </c>
      <c r="H169" s="145">
        <v>4.71</v>
      </c>
      <c r="I169" s="145">
        <v>4.8099999999999996</v>
      </c>
      <c r="J169" s="145">
        <v>4.76</v>
      </c>
      <c r="K169" s="462" t="s">
        <v>17</v>
      </c>
      <c r="L169" s="512" t="s">
        <v>257</v>
      </c>
      <c r="M169" s="563"/>
    </row>
    <row r="170" spans="2:13" s="190" customFormat="1" ht="19.95" customHeight="1">
      <c r="B170" s="505"/>
      <c r="C170" s="481"/>
      <c r="D170" s="534"/>
      <c r="E170" s="364" t="s">
        <v>251</v>
      </c>
      <c r="F170" s="141" t="s">
        <v>1</v>
      </c>
      <c r="G170" s="150">
        <v>4.7300000000000004</v>
      </c>
      <c r="H170" s="150">
        <v>4.4800000000000004</v>
      </c>
      <c r="I170" s="150">
        <v>4.6100000000000003</v>
      </c>
      <c r="J170" s="150">
        <v>4.45</v>
      </c>
      <c r="K170" s="508"/>
      <c r="L170" s="514"/>
      <c r="M170" s="564"/>
    </row>
    <row r="171" spans="2:13" s="190" customFormat="1" ht="19.95" customHeight="1">
      <c r="B171" s="505"/>
      <c r="C171" s="481"/>
      <c r="D171" s="532" t="s">
        <v>296</v>
      </c>
      <c r="E171" s="367" t="s">
        <v>240</v>
      </c>
      <c r="F171" s="135" t="s">
        <v>1</v>
      </c>
      <c r="G171" s="145">
        <v>0.13</v>
      </c>
      <c r="H171" s="145">
        <v>0.12</v>
      </c>
      <c r="I171" s="145">
        <v>0.13033524491692544</v>
      </c>
      <c r="J171" s="145">
        <v>0.13</v>
      </c>
      <c r="K171" s="462" t="s">
        <v>17</v>
      </c>
      <c r="L171" s="512" t="s">
        <v>257</v>
      </c>
      <c r="M171" s="563"/>
    </row>
    <row r="172" spans="2:13" s="190" customFormat="1" ht="19.95" customHeight="1">
      <c r="B172" s="505"/>
      <c r="C172" s="481"/>
      <c r="D172" s="533"/>
      <c r="E172" s="363" t="s">
        <v>241</v>
      </c>
      <c r="F172" s="261" t="s">
        <v>1</v>
      </c>
      <c r="G172" s="96">
        <v>0.75</v>
      </c>
      <c r="H172" s="96">
        <v>0.73</v>
      </c>
      <c r="I172" s="96">
        <v>0.7457442709159734</v>
      </c>
      <c r="J172" s="96">
        <v>0.78</v>
      </c>
      <c r="K172" s="508"/>
      <c r="L172" s="513"/>
      <c r="M172" s="564"/>
    </row>
    <row r="173" spans="2:13" s="190" customFormat="1" ht="19.95" customHeight="1">
      <c r="B173" s="505"/>
      <c r="C173" s="481"/>
      <c r="D173" s="533"/>
      <c r="E173" s="363" t="s">
        <v>242</v>
      </c>
      <c r="F173" s="261" t="s">
        <v>1</v>
      </c>
      <c r="G173" s="96">
        <v>0.19</v>
      </c>
      <c r="H173" s="96">
        <v>0.18</v>
      </c>
      <c r="I173" s="96">
        <v>0.1779359430604982</v>
      </c>
      <c r="J173" s="96">
        <v>0.16</v>
      </c>
      <c r="K173" s="508"/>
      <c r="L173" s="513"/>
      <c r="M173" s="564"/>
    </row>
    <row r="174" spans="2:13" s="190" customFormat="1" ht="19.95" customHeight="1">
      <c r="B174" s="505"/>
      <c r="C174" s="481"/>
      <c r="D174" s="533"/>
      <c r="E174" s="363" t="s">
        <v>243</v>
      </c>
      <c r="F174" s="261" t="s">
        <v>1</v>
      </c>
      <c r="G174" s="96">
        <v>3.11</v>
      </c>
      <c r="H174" s="96">
        <v>2.97</v>
      </c>
      <c r="I174" s="96">
        <v>3.0589115307024501</v>
      </c>
      <c r="J174" s="96">
        <v>2.96</v>
      </c>
      <c r="K174" s="508"/>
      <c r="L174" s="513"/>
      <c r="M174" s="564"/>
    </row>
    <row r="175" spans="2:13" s="190" customFormat="1" ht="19.95" customHeight="1" thickBot="1">
      <c r="B175" s="505"/>
      <c r="C175" s="486"/>
      <c r="D175" s="543"/>
      <c r="E175" s="371" t="s">
        <v>244</v>
      </c>
      <c r="F175" s="262" t="s">
        <v>1</v>
      </c>
      <c r="G175" s="97">
        <v>0.59</v>
      </c>
      <c r="H175" s="97">
        <v>0.59</v>
      </c>
      <c r="I175" s="97">
        <v>0.59614207675045894</v>
      </c>
      <c r="J175" s="97">
        <v>0.56999999999999995</v>
      </c>
      <c r="K175" s="463"/>
      <c r="L175" s="574"/>
      <c r="M175" s="572"/>
    </row>
    <row r="176" spans="2:13" s="190" customFormat="1" ht="60" customHeight="1">
      <c r="B176" s="505"/>
      <c r="C176" s="556" t="s">
        <v>297</v>
      </c>
      <c r="D176" s="557"/>
      <c r="E176" s="362" t="s">
        <v>298</v>
      </c>
      <c r="F176" s="245" t="s">
        <v>229</v>
      </c>
      <c r="G176" s="144">
        <v>9579</v>
      </c>
      <c r="H176" s="144">
        <v>8332</v>
      </c>
      <c r="I176" s="144">
        <v>68829</v>
      </c>
      <c r="J176" s="144">
        <v>43950</v>
      </c>
      <c r="K176" s="483" t="s">
        <v>13</v>
      </c>
      <c r="L176" s="344" t="s">
        <v>291</v>
      </c>
      <c r="M176" s="573" t="s">
        <v>293</v>
      </c>
    </row>
    <row r="177" spans="2:13" s="190" customFormat="1" ht="19.95" customHeight="1" thickBot="1">
      <c r="B177" s="505"/>
      <c r="C177" s="558"/>
      <c r="D177" s="559"/>
      <c r="E177" s="363" t="s">
        <v>299</v>
      </c>
      <c r="F177" s="261" t="s">
        <v>229</v>
      </c>
      <c r="G177" s="153">
        <v>2010</v>
      </c>
      <c r="H177" s="153">
        <v>1915</v>
      </c>
      <c r="I177" s="153">
        <v>2497</v>
      </c>
      <c r="J177" s="153">
        <v>2545</v>
      </c>
      <c r="K177" s="461"/>
      <c r="L177" s="425" t="s">
        <v>292</v>
      </c>
      <c r="M177" s="572"/>
    </row>
    <row r="178" spans="2:13" s="190" customFormat="1" ht="19.95" customHeight="1">
      <c r="B178" s="505"/>
      <c r="C178" s="475" t="s">
        <v>300</v>
      </c>
      <c r="D178" s="544" t="s">
        <v>301</v>
      </c>
      <c r="E178" s="529" t="s">
        <v>250</v>
      </c>
      <c r="F178" s="65" t="s">
        <v>229</v>
      </c>
      <c r="G178" s="120">
        <v>3028</v>
      </c>
      <c r="H178" s="120">
        <v>4406</v>
      </c>
      <c r="I178" s="120">
        <v>3049</v>
      </c>
      <c r="J178" s="120">
        <v>3023</v>
      </c>
      <c r="K178" s="507" t="s">
        <v>14</v>
      </c>
      <c r="L178" s="511" t="s">
        <v>294</v>
      </c>
      <c r="M178" s="573"/>
    </row>
    <row r="179" spans="2:13" s="190" customFormat="1" ht="19.95" customHeight="1">
      <c r="B179" s="505"/>
      <c r="C179" s="468"/>
      <c r="D179" s="545"/>
      <c r="E179" s="524"/>
      <c r="F179" s="245" t="s">
        <v>1</v>
      </c>
      <c r="G179" s="138">
        <v>3.47</v>
      </c>
      <c r="H179" s="138">
        <v>4.99</v>
      </c>
      <c r="I179" s="138">
        <v>3.54</v>
      </c>
      <c r="J179" s="138">
        <v>3.6</v>
      </c>
      <c r="K179" s="508"/>
      <c r="L179" s="502"/>
      <c r="M179" s="564"/>
    </row>
    <row r="180" spans="2:13" s="190" customFormat="1" ht="19.95" customHeight="1">
      <c r="B180" s="505"/>
      <c r="C180" s="468"/>
      <c r="D180" s="545"/>
      <c r="E180" s="521" t="s">
        <v>251</v>
      </c>
      <c r="F180" s="261" t="s">
        <v>229</v>
      </c>
      <c r="G180" s="121">
        <v>2792</v>
      </c>
      <c r="H180" s="121">
        <v>4692</v>
      </c>
      <c r="I180" s="121">
        <v>3114</v>
      </c>
      <c r="J180" s="121">
        <v>4152</v>
      </c>
      <c r="K180" s="508"/>
      <c r="L180" s="502"/>
      <c r="M180" s="564"/>
    </row>
    <row r="181" spans="2:13" s="190" customFormat="1" ht="19.95" customHeight="1">
      <c r="B181" s="505"/>
      <c r="C181" s="469"/>
      <c r="D181" s="534"/>
      <c r="E181" s="522"/>
      <c r="F181" s="141" t="s">
        <v>1</v>
      </c>
      <c r="G181" s="142">
        <v>3.2</v>
      </c>
      <c r="H181" s="142">
        <v>5.31</v>
      </c>
      <c r="I181" s="142">
        <v>3.61</v>
      </c>
      <c r="J181" s="142">
        <v>4.9400000000000004</v>
      </c>
      <c r="K181" s="509"/>
      <c r="L181" s="503"/>
      <c r="M181" s="565"/>
    </row>
    <row r="182" spans="2:13" s="190" customFormat="1" ht="19.95" customHeight="1">
      <c r="B182" s="505"/>
      <c r="C182" s="469"/>
      <c r="D182" s="551" t="s">
        <v>302</v>
      </c>
      <c r="E182" s="523" t="s">
        <v>280</v>
      </c>
      <c r="F182" s="135" t="s">
        <v>229</v>
      </c>
      <c r="G182" s="136">
        <v>3612</v>
      </c>
      <c r="H182" s="136">
        <v>5978</v>
      </c>
      <c r="I182" s="136">
        <v>3860</v>
      </c>
      <c r="J182" s="136">
        <v>4535</v>
      </c>
      <c r="K182" s="462" t="s">
        <v>61</v>
      </c>
      <c r="L182" s="500" t="s">
        <v>294</v>
      </c>
      <c r="M182" s="563"/>
    </row>
    <row r="183" spans="2:13" s="190" customFormat="1" ht="19.95" customHeight="1">
      <c r="B183" s="505"/>
      <c r="C183" s="469"/>
      <c r="D183" s="552"/>
      <c r="E183" s="524"/>
      <c r="F183" s="261" t="s">
        <v>1</v>
      </c>
      <c r="G183" s="138">
        <v>4.1399999999999997</v>
      </c>
      <c r="H183" s="138">
        <v>6.76</v>
      </c>
      <c r="I183" s="154">
        <v>4.4800000000000004</v>
      </c>
      <c r="J183" s="263">
        <v>5.4</v>
      </c>
      <c r="K183" s="508"/>
      <c r="L183" s="502"/>
      <c r="M183" s="564"/>
    </row>
    <row r="184" spans="2:13" s="190" customFormat="1" ht="19.95" customHeight="1">
      <c r="B184" s="505"/>
      <c r="C184" s="469"/>
      <c r="D184" s="552"/>
      <c r="E184" s="521" t="s">
        <v>281</v>
      </c>
      <c r="F184" s="261" t="s">
        <v>229</v>
      </c>
      <c r="G184" s="121">
        <v>2133</v>
      </c>
      <c r="H184" s="121">
        <v>2991</v>
      </c>
      <c r="I184" s="121">
        <v>2194</v>
      </c>
      <c r="J184" s="121">
        <v>2462</v>
      </c>
      <c r="K184" s="508"/>
      <c r="L184" s="502"/>
      <c r="M184" s="564"/>
    </row>
    <row r="185" spans="2:13" s="190" customFormat="1" ht="19.95" customHeight="1">
      <c r="B185" s="505"/>
      <c r="C185" s="469"/>
      <c r="D185" s="552"/>
      <c r="E185" s="524"/>
      <c r="F185" s="261" t="s">
        <v>1</v>
      </c>
      <c r="G185" s="138">
        <v>2.44</v>
      </c>
      <c r="H185" s="138">
        <v>3.38</v>
      </c>
      <c r="I185" s="154">
        <v>2.54</v>
      </c>
      <c r="J185" s="263">
        <v>2.93</v>
      </c>
      <c r="K185" s="508"/>
      <c r="L185" s="502"/>
      <c r="M185" s="564"/>
    </row>
    <row r="186" spans="2:13" s="190" customFormat="1" ht="19.95" customHeight="1">
      <c r="B186" s="505"/>
      <c r="C186" s="469"/>
      <c r="D186" s="552"/>
      <c r="E186" s="521" t="s">
        <v>282</v>
      </c>
      <c r="F186" s="261" t="s">
        <v>229</v>
      </c>
      <c r="G186" s="121">
        <v>2</v>
      </c>
      <c r="H186" s="121">
        <v>2</v>
      </c>
      <c r="I186" s="121">
        <v>70</v>
      </c>
      <c r="J186" s="121">
        <v>163</v>
      </c>
      <c r="K186" s="508"/>
      <c r="L186" s="502"/>
      <c r="M186" s="564"/>
    </row>
    <row r="187" spans="2:13" s="190" customFormat="1" ht="19.95" customHeight="1">
      <c r="B187" s="505"/>
      <c r="C187" s="469"/>
      <c r="D187" s="552"/>
      <c r="E187" s="524"/>
      <c r="F187" s="261" t="s">
        <v>1</v>
      </c>
      <c r="G187" s="138">
        <v>0</v>
      </c>
      <c r="H187" s="138">
        <v>0</v>
      </c>
      <c r="I187" s="154">
        <v>0.08</v>
      </c>
      <c r="J187" s="263">
        <v>0.19</v>
      </c>
      <c r="K187" s="508"/>
      <c r="L187" s="502"/>
      <c r="M187" s="564"/>
    </row>
    <row r="188" spans="2:13" s="190" customFormat="1" ht="19.95" customHeight="1">
      <c r="B188" s="505"/>
      <c r="C188" s="469"/>
      <c r="D188" s="552"/>
      <c r="E188" s="521" t="s">
        <v>283</v>
      </c>
      <c r="F188" s="261" t="s">
        <v>229</v>
      </c>
      <c r="G188" s="121">
        <v>1</v>
      </c>
      <c r="H188" s="121">
        <v>6</v>
      </c>
      <c r="I188" s="121">
        <v>12</v>
      </c>
      <c r="J188" s="121">
        <v>11</v>
      </c>
      <c r="K188" s="508"/>
      <c r="L188" s="502"/>
      <c r="M188" s="564"/>
    </row>
    <row r="189" spans="2:13" s="190" customFormat="1" ht="19.95" customHeight="1">
      <c r="B189" s="505"/>
      <c r="C189" s="469"/>
      <c r="D189" s="552"/>
      <c r="E189" s="524"/>
      <c r="F189" s="261" t="s">
        <v>1</v>
      </c>
      <c r="G189" s="138">
        <v>0</v>
      </c>
      <c r="H189" s="138">
        <v>0.01</v>
      </c>
      <c r="I189" s="154">
        <v>0.01</v>
      </c>
      <c r="J189" s="263">
        <v>0.01</v>
      </c>
      <c r="K189" s="508"/>
      <c r="L189" s="502"/>
      <c r="M189" s="564"/>
    </row>
    <row r="190" spans="2:13" s="190" customFormat="1" ht="19.95" customHeight="1">
      <c r="B190" s="505"/>
      <c r="C190" s="469"/>
      <c r="D190" s="552"/>
      <c r="E190" s="521" t="s">
        <v>284</v>
      </c>
      <c r="F190" s="261" t="s">
        <v>229</v>
      </c>
      <c r="G190" s="121">
        <v>72</v>
      </c>
      <c r="H190" s="121">
        <v>121</v>
      </c>
      <c r="I190" s="121">
        <v>27</v>
      </c>
      <c r="J190" s="121">
        <v>4</v>
      </c>
      <c r="K190" s="508"/>
      <c r="L190" s="502"/>
      <c r="M190" s="564"/>
    </row>
    <row r="191" spans="2:13" s="190" customFormat="1" ht="19.95" customHeight="1">
      <c r="B191" s="505"/>
      <c r="C191" s="469"/>
      <c r="D191" s="553"/>
      <c r="E191" s="522"/>
      <c r="F191" s="141" t="s">
        <v>1</v>
      </c>
      <c r="G191" s="142">
        <v>0.08</v>
      </c>
      <c r="H191" s="142">
        <v>0.14000000000000001</v>
      </c>
      <c r="I191" s="142">
        <v>0.03</v>
      </c>
      <c r="J191" s="264">
        <v>0</v>
      </c>
      <c r="K191" s="509"/>
      <c r="L191" s="503"/>
      <c r="M191" s="565"/>
    </row>
    <row r="192" spans="2:13" s="190" customFormat="1" ht="19.95" customHeight="1">
      <c r="B192" s="505"/>
      <c r="C192" s="469"/>
      <c r="D192" s="551" t="s">
        <v>303</v>
      </c>
      <c r="E192" s="523" t="s">
        <v>240</v>
      </c>
      <c r="F192" s="135" t="s">
        <v>229</v>
      </c>
      <c r="G192" s="136">
        <v>316</v>
      </c>
      <c r="H192" s="136">
        <v>291</v>
      </c>
      <c r="I192" s="136">
        <v>318</v>
      </c>
      <c r="J192" s="136">
        <v>239</v>
      </c>
      <c r="K192" s="462" t="s">
        <v>14</v>
      </c>
      <c r="L192" s="500" t="s">
        <v>294</v>
      </c>
      <c r="M192" s="563"/>
    </row>
    <row r="193" spans="2:17" s="190" customFormat="1" ht="19.95" customHeight="1">
      <c r="B193" s="505"/>
      <c r="C193" s="469"/>
      <c r="D193" s="552"/>
      <c r="E193" s="524"/>
      <c r="F193" s="261" t="s">
        <v>1</v>
      </c>
      <c r="G193" s="138">
        <v>0.36</v>
      </c>
      <c r="H193" s="138">
        <v>0.33</v>
      </c>
      <c r="I193" s="154">
        <v>0.37</v>
      </c>
      <c r="J193" s="154">
        <v>0.28000000000000003</v>
      </c>
      <c r="K193" s="508"/>
      <c r="L193" s="502"/>
      <c r="M193" s="564"/>
    </row>
    <row r="194" spans="2:17" s="190" customFormat="1" ht="19.95" customHeight="1">
      <c r="B194" s="505"/>
      <c r="C194" s="469"/>
      <c r="D194" s="552"/>
      <c r="E194" s="521" t="s">
        <v>241</v>
      </c>
      <c r="F194" s="261" t="s">
        <v>229</v>
      </c>
      <c r="G194" s="121">
        <v>662</v>
      </c>
      <c r="H194" s="121">
        <v>686</v>
      </c>
      <c r="I194" s="121">
        <v>742</v>
      </c>
      <c r="J194" s="121">
        <v>636</v>
      </c>
      <c r="K194" s="508"/>
      <c r="L194" s="502"/>
      <c r="M194" s="564"/>
    </row>
    <row r="195" spans="2:17" s="190" customFormat="1" ht="19.95" customHeight="1">
      <c r="B195" s="505"/>
      <c r="C195" s="469"/>
      <c r="D195" s="552"/>
      <c r="E195" s="524"/>
      <c r="F195" s="261" t="s">
        <v>1</v>
      </c>
      <c r="G195" s="138">
        <v>0.76</v>
      </c>
      <c r="H195" s="138">
        <v>0.78</v>
      </c>
      <c r="I195" s="138">
        <v>0.86</v>
      </c>
      <c r="J195" s="138">
        <v>0.76</v>
      </c>
      <c r="K195" s="508"/>
      <c r="L195" s="502"/>
      <c r="M195" s="564"/>
      <c r="Q195" s="192"/>
    </row>
    <row r="196" spans="2:17" s="190" customFormat="1" ht="19.95" customHeight="1">
      <c r="B196" s="505"/>
      <c r="C196" s="469"/>
      <c r="D196" s="552"/>
      <c r="E196" s="521" t="s">
        <v>242</v>
      </c>
      <c r="F196" s="261" t="s">
        <v>229</v>
      </c>
      <c r="G196" s="121">
        <v>307</v>
      </c>
      <c r="H196" s="121">
        <v>522</v>
      </c>
      <c r="I196" s="121">
        <v>401</v>
      </c>
      <c r="J196" s="121">
        <v>294</v>
      </c>
      <c r="K196" s="508"/>
      <c r="L196" s="502"/>
      <c r="M196" s="564"/>
    </row>
    <row r="197" spans="2:17" s="190" customFormat="1" ht="19.95" customHeight="1">
      <c r="B197" s="505"/>
      <c r="C197" s="469"/>
      <c r="D197" s="552"/>
      <c r="E197" s="524"/>
      <c r="F197" s="261" t="s">
        <v>1</v>
      </c>
      <c r="G197" s="138">
        <v>0.35</v>
      </c>
      <c r="H197" s="138">
        <v>0.59</v>
      </c>
      <c r="I197" s="154">
        <v>0.47</v>
      </c>
      <c r="J197" s="154">
        <v>0.35</v>
      </c>
      <c r="K197" s="508"/>
      <c r="L197" s="502"/>
      <c r="M197" s="564"/>
    </row>
    <row r="198" spans="2:17" s="190" customFormat="1" ht="19.95" customHeight="1">
      <c r="B198" s="505"/>
      <c r="C198" s="469"/>
      <c r="D198" s="552"/>
      <c r="E198" s="521" t="s">
        <v>243</v>
      </c>
      <c r="F198" s="261" t="s">
        <v>229</v>
      </c>
      <c r="G198" s="121">
        <v>3784</v>
      </c>
      <c r="H198" s="121">
        <v>6476</v>
      </c>
      <c r="I198" s="121">
        <v>3912</v>
      </c>
      <c r="J198" s="121">
        <v>5367</v>
      </c>
      <c r="K198" s="508"/>
      <c r="L198" s="502"/>
      <c r="M198" s="564"/>
    </row>
    <row r="199" spans="2:17" s="190" customFormat="1" ht="19.95" customHeight="1">
      <c r="B199" s="505"/>
      <c r="C199" s="469"/>
      <c r="D199" s="552"/>
      <c r="E199" s="524"/>
      <c r="F199" s="261" t="s">
        <v>1</v>
      </c>
      <c r="G199" s="138">
        <v>4.34</v>
      </c>
      <c r="H199" s="138">
        <v>7.33</v>
      </c>
      <c r="I199" s="154">
        <v>4.54</v>
      </c>
      <c r="J199" s="154">
        <v>6.39</v>
      </c>
      <c r="K199" s="508"/>
      <c r="L199" s="502"/>
      <c r="M199" s="564"/>
    </row>
    <row r="200" spans="2:17" s="190" customFormat="1" ht="19.95" customHeight="1">
      <c r="B200" s="505"/>
      <c r="C200" s="469"/>
      <c r="D200" s="552"/>
      <c r="E200" s="521" t="s">
        <v>244</v>
      </c>
      <c r="F200" s="261" t="s">
        <v>229</v>
      </c>
      <c r="G200" s="121">
        <v>751</v>
      </c>
      <c r="H200" s="121">
        <v>1123</v>
      </c>
      <c r="I200" s="121">
        <v>790</v>
      </c>
      <c r="J200" s="121">
        <v>639</v>
      </c>
      <c r="K200" s="508"/>
      <c r="L200" s="502"/>
      <c r="M200" s="564"/>
    </row>
    <row r="201" spans="2:17" s="190" customFormat="1" ht="19.95" customHeight="1">
      <c r="B201" s="505"/>
      <c r="C201" s="469"/>
      <c r="D201" s="553"/>
      <c r="E201" s="522"/>
      <c r="F201" s="141" t="s">
        <v>1</v>
      </c>
      <c r="G201" s="142">
        <v>0.86</v>
      </c>
      <c r="H201" s="142">
        <v>1.27</v>
      </c>
      <c r="I201" s="142">
        <v>0.92</v>
      </c>
      <c r="J201" s="142">
        <v>0.76</v>
      </c>
      <c r="K201" s="509"/>
      <c r="L201" s="503"/>
      <c r="M201" s="565"/>
    </row>
    <row r="202" spans="2:17" s="190" customFormat="1" ht="19.95" customHeight="1">
      <c r="B202" s="505"/>
      <c r="C202" s="469"/>
      <c r="D202" s="551" t="s">
        <v>304</v>
      </c>
      <c r="E202" s="523" t="s">
        <v>276</v>
      </c>
      <c r="F202" s="135" t="s">
        <v>229</v>
      </c>
      <c r="G202" s="136">
        <v>4584</v>
      </c>
      <c r="H202" s="136">
        <v>6506</v>
      </c>
      <c r="I202" s="136">
        <v>4613</v>
      </c>
      <c r="J202" s="136">
        <v>4239</v>
      </c>
      <c r="K202" s="462" t="s">
        <v>14</v>
      </c>
      <c r="L202" s="500" t="s">
        <v>294</v>
      </c>
      <c r="M202" s="563"/>
    </row>
    <row r="203" spans="2:17" s="190" customFormat="1" ht="19.95" customHeight="1">
      <c r="B203" s="505"/>
      <c r="C203" s="469"/>
      <c r="D203" s="552"/>
      <c r="E203" s="524"/>
      <c r="F203" s="261" t="s">
        <v>1</v>
      </c>
      <c r="G203" s="138">
        <v>5.25</v>
      </c>
      <c r="H203" s="138">
        <v>7.36</v>
      </c>
      <c r="I203" s="138">
        <v>5.35</v>
      </c>
      <c r="J203" s="138">
        <v>5.05</v>
      </c>
      <c r="K203" s="508"/>
      <c r="L203" s="502"/>
      <c r="M203" s="564"/>
    </row>
    <row r="204" spans="2:17" s="190" customFormat="1" ht="19.95" customHeight="1">
      <c r="B204" s="505"/>
      <c r="C204" s="469"/>
      <c r="D204" s="552"/>
      <c r="E204" s="521" t="s">
        <v>277</v>
      </c>
      <c r="F204" s="261" t="s">
        <v>229</v>
      </c>
      <c r="G204" s="121">
        <v>1200</v>
      </c>
      <c r="H204" s="121">
        <v>2552</v>
      </c>
      <c r="I204" s="121">
        <v>1516</v>
      </c>
      <c r="J204" s="121">
        <v>2851</v>
      </c>
      <c r="K204" s="508"/>
      <c r="L204" s="502"/>
      <c r="M204" s="564"/>
    </row>
    <row r="205" spans="2:17" s="190" customFormat="1" ht="19.95" customHeight="1">
      <c r="B205" s="505"/>
      <c r="C205" s="469"/>
      <c r="D205" s="552"/>
      <c r="E205" s="524"/>
      <c r="F205" s="261" t="s">
        <v>1</v>
      </c>
      <c r="G205" s="138">
        <v>1.37</v>
      </c>
      <c r="H205" s="138">
        <v>2.89</v>
      </c>
      <c r="I205" s="138">
        <v>1.76</v>
      </c>
      <c r="J205" s="138">
        <v>3.39</v>
      </c>
      <c r="K205" s="508"/>
      <c r="L205" s="502"/>
      <c r="M205" s="564"/>
    </row>
    <row r="206" spans="2:17" s="190" customFormat="1" ht="19.95" customHeight="1">
      <c r="B206" s="505"/>
      <c r="C206" s="469"/>
      <c r="D206" s="552"/>
      <c r="E206" s="521" t="s">
        <v>278</v>
      </c>
      <c r="F206" s="261" t="s">
        <v>229</v>
      </c>
      <c r="G206" s="121">
        <v>36</v>
      </c>
      <c r="H206" s="121">
        <v>40</v>
      </c>
      <c r="I206" s="121">
        <v>34</v>
      </c>
      <c r="J206" s="121">
        <v>85</v>
      </c>
      <c r="K206" s="508"/>
      <c r="L206" s="502"/>
      <c r="M206" s="564"/>
    </row>
    <row r="207" spans="2:17" s="190" customFormat="1" ht="19.95" customHeight="1">
      <c r="B207" s="505"/>
      <c r="C207" s="469"/>
      <c r="D207" s="553"/>
      <c r="E207" s="522"/>
      <c r="F207" s="141" t="s">
        <v>1</v>
      </c>
      <c r="G207" s="142">
        <v>0.04</v>
      </c>
      <c r="H207" s="142">
        <v>0.05</v>
      </c>
      <c r="I207" s="142">
        <v>0.04</v>
      </c>
      <c r="J207" s="142">
        <v>0.1</v>
      </c>
      <c r="K207" s="509"/>
      <c r="L207" s="503"/>
      <c r="M207" s="565"/>
    </row>
    <row r="208" spans="2:17" s="190" customFormat="1" ht="19.95" customHeight="1">
      <c r="B208" s="505"/>
      <c r="C208" s="469"/>
      <c r="D208" s="484" t="s">
        <v>305</v>
      </c>
      <c r="E208" s="526" t="s">
        <v>268</v>
      </c>
      <c r="F208" s="245" t="s">
        <v>229</v>
      </c>
      <c r="G208" s="144">
        <v>7</v>
      </c>
      <c r="H208" s="144">
        <v>5</v>
      </c>
      <c r="I208" s="144">
        <v>5</v>
      </c>
      <c r="J208" s="144">
        <v>22</v>
      </c>
      <c r="K208" s="462" t="s">
        <v>14</v>
      </c>
      <c r="L208" s="500" t="s">
        <v>294</v>
      </c>
      <c r="M208" s="563"/>
    </row>
    <row r="209" spans="2:13" s="190" customFormat="1" ht="19.95" customHeight="1">
      <c r="B209" s="505"/>
      <c r="C209" s="469"/>
      <c r="D209" s="484"/>
      <c r="E209" s="524"/>
      <c r="F209" s="261" t="s">
        <v>1</v>
      </c>
      <c r="G209" s="138">
        <v>0.01</v>
      </c>
      <c r="H209" s="138">
        <v>0.01</v>
      </c>
      <c r="I209" s="138">
        <v>0.01</v>
      </c>
      <c r="J209" s="138">
        <v>0.03</v>
      </c>
      <c r="K209" s="508"/>
      <c r="L209" s="502"/>
      <c r="M209" s="564"/>
    </row>
    <row r="210" spans="2:13" s="190" customFormat="1" ht="19.95" customHeight="1">
      <c r="B210" s="505"/>
      <c r="C210" s="469"/>
      <c r="D210" s="484"/>
      <c r="E210" s="521" t="s">
        <v>269</v>
      </c>
      <c r="F210" s="261" t="s">
        <v>229</v>
      </c>
      <c r="G210" s="121">
        <v>132</v>
      </c>
      <c r="H210" s="121">
        <v>150</v>
      </c>
      <c r="I210" s="121">
        <v>60</v>
      </c>
      <c r="J210" s="121">
        <v>181</v>
      </c>
      <c r="K210" s="508"/>
      <c r="L210" s="502"/>
      <c r="M210" s="564"/>
    </row>
    <row r="211" spans="2:13" s="190" customFormat="1" ht="19.95" customHeight="1">
      <c r="B211" s="505"/>
      <c r="C211" s="469"/>
      <c r="D211" s="484"/>
      <c r="E211" s="524"/>
      <c r="F211" s="261" t="s">
        <v>1</v>
      </c>
      <c r="G211" s="154">
        <v>0.15</v>
      </c>
      <c r="H211" s="154">
        <v>0.17</v>
      </c>
      <c r="I211" s="154">
        <v>7.0000000000000007E-2</v>
      </c>
      <c r="J211" s="154">
        <v>0.22</v>
      </c>
      <c r="K211" s="508"/>
      <c r="L211" s="502"/>
      <c r="M211" s="564"/>
    </row>
    <row r="212" spans="2:13" s="190" customFormat="1" ht="19.95" customHeight="1">
      <c r="B212" s="505"/>
      <c r="C212" s="469"/>
      <c r="D212" s="484"/>
      <c r="E212" s="527" t="s">
        <v>306</v>
      </c>
      <c r="F212" s="261" t="s">
        <v>229</v>
      </c>
      <c r="G212" s="121">
        <v>16</v>
      </c>
      <c r="H212" s="121">
        <v>61</v>
      </c>
      <c r="I212" s="121">
        <v>24</v>
      </c>
      <c r="J212" s="121">
        <v>38</v>
      </c>
      <c r="K212" s="508"/>
      <c r="L212" s="502"/>
      <c r="M212" s="564"/>
    </row>
    <row r="213" spans="2:13" s="190" customFormat="1" ht="19.95" customHeight="1">
      <c r="B213" s="505"/>
      <c r="C213" s="469"/>
      <c r="D213" s="484"/>
      <c r="E213" s="528"/>
      <c r="F213" s="261" t="s">
        <v>1</v>
      </c>
      <c r="G213" s="154">
        <v>0.02</v>
      </c>
      <c r="H213" s="154">
        <v>7.0000000000000007E-2</v>
      </c>
      <c r="I213" s="154">
        <v>0.03</v>
      </c>
      <c r="J213" s="154">
        <v>0.05</v>
      </c>
      <c r="K213" s="508"/>
      <c r="L213" s="502"/>
      <c r="M213" s="564"/>
    </row>
    <row r="214" spans="2:13" s="190" customFormat="1" ht="19.95" customHeight="1">
      <c r="B214" s="505"/>
      <c r="C214" s="469"/>
      <c r="D214" s="484"/>
      <c r="E214" s="527" t="s">
        <v>271</v>
      </c>
      <c r="F214" s="261" t="s">
        <v>229</v>
      </c>
      <c r="G214" s="121">
        <v>1589</v>
      </c>
      <c r="H214" s="121">
        <v>2968</v>
      </c>
      <c r="I214" s="121">
        <v>1849</v>
      </c>
      <c r="J214" s="121">
        <v>3497</v>
      </c>
      <c r="K214" s="508"/>
      <c r="L214" s="502"/>
      <c r="M214" s="564"/>
    </row>
    <row r="215" spans="2:13" s="190" customFormat="1" ht="19.95" customHeight="1">
      <c r="B215" s="505"/>
      <c r="C215" s="469"/>
      <c r="D215" s="484"/>
      <c r="E215" s="528"/>
      <c r="F215" s="261" t="s">
        <v>1</v>
      </c>
      <c r="G215" s="154">
        <v>1.82</v>
      </c>
      <c r="H215" s="154">
        <v>3.36</v>
      </c>
      <c r="I215" s="154">
        <v>2.14</v>
      </c>
      <c r="J215" s="154">
        <v>4.16</v>
      </c>
      <c r="K215" s="508"/>
      <c r="L215" s="502"/>
      <c r="M215" s="564"/>
    </row>
    <row r="216" spans="2:13" s="190" customFormat="1" ht="19.95" customHeight="1">
      <c r="B216" s="505"/>
      <c r="C216" s="469"/>
      <c r="D216" s="484"/>
      <c r="E216" s="527" t="s">
        <v>272</v>
      </c>
      <c r="F216" s="261" t="s">
        <v>229</v>
      </c>
      <c r="G216" s="121">
        <v>3341</v>
      </c>
      <c r="H216" s="121">
        <v>5838</v>
      </c>
      <c r="I216" s="121">
        <v>3785</v>
      </c>
      <c r="J216" s="121">
        <v>3099</v>
      </c>
      <c r="K216" s="508"/>
      <c r="L216" s="502"/>
      <c r="M216" s="564"/>
    </row>
    <row r="217" spans="2:13" s="190" customFormat="1" ht="19.95" customHeight="1">
      <c r="B217" s="505"/>
      <c r="C217" s="469"/>
      <c r="D217" s="484"/>
      <c r="E217" s="528"/>
      <c r="F217" s="261" t="s">
        <v>1</v>
      </c>
      <c r="G217" s="154">
        <v>3.83</v>
      </c>
      <c r="H217" s="154">
        <v>6.61</v>
      </c>
      <c r="I217" s="154">
        <v>4.3899999999999997</v>
      </c>
      <c r="J217" s="154">
        <v>3.69</v>
      </c>
      <c r="K217" s="508"/>
      <c r="L217" s="502"/>
      <c r="M217" s="564"/>
    </row>
    <row r="218" spans="2:13" s="190" customFormat="1" ht="19.95" customHeight="1">
      <c r="B218" s="505"/>
      <c r="C218" s="469"/>
      <c r="D218" s="484"/>
      <c r="E218" s="527" t="s">
        <v>273</v>
      </c>
      <c r="F218" s="261" t="s">
        <v>229</v>
      </c>
      <c r="G218" s="121">
        <v>735</v>
      </c>
      <c r="H218" s="121">
        <v>76</v>
      </c>
      <c r="I218" s="121">
        <v>440</v>
      </c>
      <c r="J218" s="121">
        <v>338</v>
      </c>
      <c r="K218" s="508"/>
      <c r="L218" s="502"/>
      <c r="M218" s="564"/>
    </row>
    <row r="219" spans="2:13" s="190" customFormat="1" ht="19.95" customHeight="1" thickBot="1">
      <c r="B219" s="505"/>
      <c r="C219" s="471"/>
      <c r="D219" s="461"/>
      <c r="E219" s="463"/>
      <c r="F219" s="262" t="s">
        <v>1</v>
      </c>
      <c r="G219" s="155">
        <v>0.84</v>
      </c>
      <c r="H219" s="155">
        <v>0.09</v>
      </c>
      <c r="I219" s="155">
        <v>0.51</v>
      </c>
      <c r="J219" s="155">
        <v>0.4</v>
      </c>
      <c r="K219" s="463"/>
      <c r="L219" s="501"/>
      <c r="M219" s="572"/>
    </row>
    <row r="220" spans="2:13" s="190" customFormat="1" ht="19.95" customHeight="1">
      <c r="B220" s="505"/>
      <c r="C220" s="483" t="s">
        <v>307</v>
      </c>
      <c r="D220" s="483" t="s">
        <v>308</v>
      </c>
      <c r="E220" s="291" t="s">
        <v>250</v>
      </c>
      <c r="F220" s="261" t="s">
        <v>1</v>
      </c>
      <c r="G220" s="138">
        <v>48.61</v>
      </c>
      <c r="H220" s="138">
        <v>48.6</v>
      </c>
      <c r="I220" s="138">
        <v>48.14</v>
      </c>
      <c r="J220" s="138">
        <v>47.61</v>
      </c>
      <c r="K220" s="483" t="s">
        <v>91</v>
      </c>
      <c r="L220" s="515" t="s">
        <v>390</v>
      </c>
      <c r="M220" s="394"/>
    </row>
    <row r="221" spans="2:13" s="190" customFormat="1" ht="19.95" customHeight="1">
      <c r="B221" s="505"/>
      <c r="C221" s="484"/>
      <c r="D221" s="510"/>
      <c r="E221" s="293" t="s">
        <v>251</v>
      </c>
      <c r="F221" s="141" t="s">
        <v>1</v>
      </c>
      <c r="G221" s="142">
        <v>51.39</v>
      </c>
      <c r="H221" s="142">
        <v>51.4</v>
      </c>
      <c r="I221" s="142">
        <v>51.86</v>
      </c>
      <c r="J221" s="142">
        <v>52.39</v>
      </c>
      <c r="K221" s="510"/>
      <c r="L221" s="516"/>
      <c r="M221" s="395"/>
    </row>
    <row r="222" spans="2:13" s="190" customFormat="1" ht="19.95" customHeight="1">
      <c r="B222" s="505"/>
      <c r="C222" s="484"/>
      <c r="D222" s="460" t="s">
        <v>310</v>
      </c>
      <c r="E222" s="367" t="s">
        <v>280</v>
      </c>
      <c r="F222" s="261" t="s">
        <v>1</v>
      </c>
      <c r="G222" s="138">
        <v>71.47</v>
      </c>
      <c r="H222" s="138">
        <v>70.67</v>
      </c>
      <c r="I222" s="154">
        <v>69.2</v>
      </c>
      <c r="J222" s="263">
        <v>68.88</v>
      </c>
      <c r="K222" s="508" t="s">
        <v>91</v>
      </c>
      <c r="L222" s="517" t="s">
        <v>390</v>
      </c>
      <c r="M222" s="396"/>
    </row>
    <row r="223" spans="2:13" s="190" customFormat="1" ht="19.95" customHeight="1">
      <c r="B223" s="505"/>
      <c r="C223" s="484"/>
      <c r="D223" s="484"/>
      <c r="E223" s="363" t="s">
        <v>281</v>
      </c>
      <c r="F223" s="261" t="s">
        <v>1</v>
      </c>
      <c r="G223" s="138">
        <v>26.99</v>
      </c>
      <c r="H223" s="138">
        <v>27.56</v>
      </c>
      <c r="I223" s="138">
        <v>29.11</v>
      </c>
      <c r="J223" s="263">
        <v>29.5</v>
      </c>
      <c r="K223" s="508"/>
      <c r="L223" s="518"/>
      <c r="M223" s="396"/>
    </row>
    <row r="224" spans="2:13" s="190" customFormat="1" ht="19.95" customHeight="1">
      <c r="B224" s="505"/>
      <c r="C224" s="484"/>
      <c r="D224" s="484"/>
      <c r="E224" s="363" t="s">
        <v>282</v>
      </c>
      <c r="F224" s="261" t="s">
        <v>1</v>
      </c>
      <c r="G224" s="138">
        <v>1.19</v>
      </c>
      <c r="H224" s="138">
        <v>1.35</v>
      </c>
      <c r="I224" s="138">
        <v>1.1599999999999999</v>
      </c>
      <c r="J224" s="263">
        <v>1.1399999999999999</v>
      </c>
      <c r="K224" s="508"/>
      <c r="L224" s="518"/>
      <c r="M224" s="396"/>
    </row>
    <row r="225" spans="2:13" s="190" customFormat="1" ht="19.95" customHeight="1">
      <c r="B225" s="505"/>
      <c r="C225" s="484"/>
      <c r="D225" s="484"/>
      <c r="E225" s="363" t="s">
        <v>283</v>
      </c>
      <c r="F225" s="261" t="s">
        <v>1</v>
      </c>
      <c r="G225" s="138">
        <v>0.17</v>
      </c>
      <c r="H225" s="138">
        <v>0.14000000000000001</v>
      </c>
      <c r="I225" s="138">
        <v>0.19</v>
      </c>
      <c r="J225" s="263">
        <v>0.14000000000000001</v>
      </c>
      <c r="K225" s="508"/>
      <c r="L225" s="518"/>
      <c r="M225" s="396"/>
    </row>
    <row r="226" spans="2:13" s="190" customFormat="1" ht="19.95" customHeight="1">
      <c r="B226" s="505"/>
      <c r="C226" s="484"/>
      <c r="D226" s="510"/>
      <c r="E226" s="364" t="s">
        <v>284</v>
      </c>
      <c r="F226" s="141" t="s">
        <v>1</v>
      </c>
      <c r="G226" s="142">
        <v>0.18</v>
      </c>
      <c r="H226" s="142">
        <v>0.28000000000000003</v>
      </c>
      <c r="I226" s="142">
        <v>0.34</v>
      </c>
      <c r="J226" s="264">
        <v>0.34</v>
      </c>
      <c r="K226" s="509"/>
      <c r="L226" s="520"/>
      <c r="M226" s="397"/>
    </row>
    <row r="227" spans="2:13" s="190" customFormat="1" ht="19.95" customHeight="1">
      <c r="B227" s="505"/>
      <c r="C227" s="484"/>
      <c r="D227" s="460" t="s">
        <v>309</v>
      </c>
      <c r="E227" s="367" t="s">
        <v>276</v>
      </c>
      <c r="F227" s="261" t="s">
        <v>1</v>
      </c>
      <c r="G227" s="138">
        <v>33.68</v>
      </c>
      <c r="H227" s="138">
        <v>34.14</v>
      </c>
      <c r="I227" s="138">
        <v>30.31</v>
      </c>
      <c r="J227" s="138">
        <v>29.2</v>
      </c>
      <c r="K227" s="508" t="s">
        <v>91</v>
      </c>
      <c r="L227" s="517" t="s">
        <v>390</v>
      </c>
      <c r="M227" s="396"/>
    </row>
    <row r="228" spans="2:13" s="190" customFormat="1" ht="19.95" customHeight="1">
      <c r="B228" s="505"/>
      <c r="C228" s="484"/>
      <c r="D228" s="484"/>
      <c r="E228" s="363" t="s">
        <v>277</v>
      </c>
      <c r="F228" s="261" t="s">
        <v>1</v>
      </c>
      <c r="G228" s="138">
        <v>63.27</v>
      </c>
      <c r="H228" s="138">
        <v>62.99</v>
      </c>
      <c r="I228" s="138">
        <v>66.430000000000007</v>
      </c>
      <c r="J228" s="138">
        <v>67.61</v>
      </c>
      <c r="K228" s="508"/>
      <c r="L228" s="518"/>
      <c r="M228" s="396"/>
    </row>
    <row r="229" spans="2:13" s="190" customFormat="1" ht="19.95" customHeight="1">
      <c r="B229" s="505"/>
      <c r="C229" s="484"/>
      <c r="D229" s="510"/>
      <c r="E229" s="364" t="s">
        <v>278</v>
      </c>
      <c r="F229" s="141" t="s">
        <v>1</v>
      </c>
      <c r="G229" s="142">
        <v>3.05</v>
      </c>
      <c r="H229" s="142">
        <v>2.87</v>
      </c>
      <c r="I229" s="142">
        <v>3.26</v>
      </c>
      <c r="J229" s="142">
        <v>3.18</v>
      </c>
      <c r="K229" s="509"/>
      <c r="L229" s="520"/>
      <c r="M229" s="397"/>
    </row>
    <row r="230" spans="2:13" s="190" customFormat="1" ht="19.95" customHeight="1">
      <c r="B230" s="505"/>
      <c r="C230" s="484"/>
      <c r="D230" s="460" t="s">
        <v>311</v>
      </c>
      <c r="E230" s="363" t="s">
        <v>268</v>
      </c>
      <c r="F230" s="261" t="s">
        <v>1</v>
      </c>
      <c r="G230" s="140">
        <v>0.22</v>
      </c>
      <c r="H230" s="140">
        <v>0.16</v>
      </c>
      <c r="I230" s="140">
        <v>0.02</v>
      </c>
      <c r="J230" s="140">
        <v>0.09</v>
      </c>
      <c r="K230" s="508" t="s">
        <v>91</v>
      </c>
      <c r="L230" s="517" t="s">
        <v>390</v>
      </c>
      <c r="M230" s="396"/>
    </row>
    <row r="231" spans="2:13" s="190" customFormat="1" ht="19.95" customHeight="1">
      <c r="B231" s="505"/>
      <c r="C231" s="484"/>
      <c r="D231" s="484"/>
      <c r="E231" s="363" t="s">
        <v>269</v>
      </c>
      <c r="F231" s="261" t="s">
        <v>1</v>
      </c>
      <c r="G231" s="138">
        <v>20.63</v>
      </c>
      <c r="H231" s="138">
        <v>18.34</v>
      </c>
      <c r="I231" s="138">
        <v>20.81</v>
      </c>
      <c r="J231" s="138">
        <v>21.11</v>
      </c>
      <c r="K231" s="508"/>
      <c r="L231" s="518"/>
      <c r="M231" s="396"/>
    </row>
    <row r="232" spans="2:13" s="190" customFormat="1" ht="19.95" customHeight="1">
      <c r="B232" s="505"/>
      <c r="C232" s="484"/>
      <c r="D232" s="484"/>
      <c r="E232" s="283" t="s">
        <v>270</v>
      </c>
      <c r="F232" s="261" t="s">
        <v>1</v>
      </c>
      <c r="G232" s="138">
        <v>4.2300000000000004</v>
      </c>
      <c r="H232" s="138">
        <v>5.15</v>
      </c>
      <c r="I232" s="138">
        <v>4.13</v>
      </c>
      <c r="J232" s="138">
        <v>3.91</v>
      </c>
      <c r="K232" s="508"/>
      <c r="L232" s="518"/>
      <c r="M232" s="396"/>
    </row>
    <row r="233" spans="2:13" s="190" customFormat="1" ht="19.95" customHeight="1">
      <c r="B233" s="505"/>
      <c r="C233" s="484"/>
      <c r="D233" s="484"/>
      <c r="E233" s="283" t="s">
        <v>271</v>
      </c>
      <c r="F233" s="261" t="s">
        <v>1</v>
      </c>
      <c r="G233" s="138">
        <v>52.82</v>
      </c>
      <c r="H233" s="138">
        <v>55.08</v>
      </c>
      <c r="I233" s="138">
        <v>55.79</v>
      </c>
      <c r="J233" s="138">
        <v>57.77</v>
      </c>
      <c r="K233" s="508"/>
      <c r="L233" s="518"/>
      <c r="M233" s="396"/>
    </row>
    <row r="234" spans="2:13" s="190" customFormat="1" ht="19.95" customHeight="1">
      <c r="B234" s="505"/>
      <c r="C234" s="484"/>
      <c r="D234" s="484"/>
      <c r="E234" s="363" t="s">
        <v>272</v>
      </c>
      <c r="F234" s="261" t="s">
        <v>1</v>
      </c>
      <c r="G234" s="138">
        <v>22.04</v>
      </c>
      <c r="H234" s="138">
        <v>20.77</v>
      </c>
      <c r="I234" s="138">
        <v>19.23</v>
      </c>
      <c r="J234" s="138">
        <v>17.07</v>
      </c>
      <c r="K234" s="508"/>
      <c r="L234" s="518"/>
      <c r="M234" s="396"/>
    </row>
    <row r="235" spans="2:13" s="190" customFormat="1" ht="19.95" customHeight="1" thickBot="1">
      <c r="B235" s="505"/>
      <c r="C235" s="461"/>
      <c r="D235" s="461"/>
      <c r="E235" s="363" t="s">
        <v>273</v>
      </c>
      <c r="F235" s="262" t="s">
        <v>1</v>
      </c>
      <c r="G235" s="155">
        <v>0.06</v>
      </c>
      <c r="H235" s="155">
        <v>0.49</v>
      </c>
      <c r="I235" s="155">
        <v>0.02</v>
      </c>
      <c r="J235" s="155">
        <v>0.05</v>
      </c>
      <c r="K235" s="463"/>
      <c r="L235" s="519"/>
      <c r="M235" s="396"/>
    </row>
    <row r="236" spans="2:13" s="190" customFormat="1" ht="19.95" customHeight="1">
      <c r="B236" s="505"/>
      <c r="C236" s="485" t="s">
        <v>312</v>
      </c>
      <c r="D236" s="476" t="s">
        <v>313</v>
      </c>
      <c r="E236" s="529" t="s">
        <v>250</v>
      </c>
      <c r="F236" s="65" t="s">
        <v>229</v>
      </c>
      <c r="G236" s="120">
        <v>4390</v>
      </c>
      <c r="H236" s="120">
        <v>4415</v>
      </c>
      <c r="I236" s="120">
        <v>4317</v>
      </c>
      <c r="J236" s="120">
        <v>5113</v>
      </c>
      <c r="K236" s="507" t="s">
        <v>14</v>
      </c>
      <c r="L236" s="511" t="s">
        <v>318</v>
      </c>
      <c r="M236" s="573"/>
    </row>
    <row r="237" spans="2:13" s="190" customFormat="1" ht="19.95" customHeight="1">
      <c r="B237" s="505"/>
      <c r="C237" s="481"/>
      <c r="D237" s="473"/>
      <c r="E237" s="524"/>
      <c r="F237" s="261" t="s">
        <v>1</v>
      </c>
      <c r="G237" s="138">
        <v>5.03</v>
      </c>
      <c r="H237" s="138">
        <v>5</v>
      </c>
      <c r="I237" s="138">
        <v>5.01</v>
      </c>
      <c r="J237" s="138">
        <v>6.09</v>
      </c>
      <c r="K237" s="508"/>
      <c r="L237" s="502"/>
      <c r="M237" s="564"/>
    </row>
    <row r="238" spans="2:13" s="190" customFormat="1" ht="19.95" customHeight="1">
      <c r="B238" s="505"/>
      <c r="C238" s="481"/>
      <c r="D238" s="473"/>
      <c r="E238" s="521" t="s">
        <v>251</v>
      </c>
      <c r="F238" s="261" t="s">
        <v>229</v>
      </c>
      <c r="G238" s="121">
        <v>5008</v>
      </c>
      <c r="H238" s="121">
        <v>4460</v>
      </c>
      <c r="I238" s="121">
        <v>4630</v>
      </c>
      <c r="J238" s="121">
        <v>5098</v>
      </c>
      <c r="K238" s="508"/>
      <c r="L238" s="502"/>
      <c r="M238" s="564"/>
    </row>
    <row r="239" spans="2:13" s="190" customFormat="1" ht="19.95" customHeight="1">
      <c r="B239" s="505"/>
      <c r="C239" s="481"/>
      <c r="D239" s="493"/>
      <c r="E239" s="522"/>
      <c r="F239" s="141" t="s">
        <v>1</v>
      </c>
      <c r="G239" s="142">
        <v>5.74</v>
      </c>
      <c r="H239" s="142">
        <v>5.05</v>
      </c>
      <c r="I239" s="142">
        <v>5.37</v>
      </c>
      <c r="J239" s="142">
        <v>6.07</v>
      </c>
      <c r="K239" s="509"/>
      <c r="L239" s="503"/>
      <c r="M239" s="565"/>
    </row>
    <row r="240" spans="2:13" s="190" customFormat="1" ht="19.95" customHeight="1">
      <c r="B240" s="505"/>
      <c r="C240" s="481"/>
      <c r="D240" s="532" t="s">
        <v>314</v>
      </c>
      <c r="E240" s="524" t="s">
        <v>280</v>
      </c>
      <c r="F240" s="135" t="s">
        <v>229</v>
      </c>
      <c r="G240" s="136">
        <v>6802</v>
      </c>
      <c r="H240" s="136">
        <v>6351</v>
      </c>
      <c r="I240" s="136">
        <v>6460</v>
      </c>
      <c r="J240" s="136">
        <v>7057</v>
      </c>
      <c r="K240" s="462" t="s">
        <v>14</v>
      </c>
      <c r="L240" s="500" t="s">
        <v>318</v>
      </c>
      <c r="M240" s="563"/>
    </row>
    <row r="241" spans="2:13" s="190" customFormat="1" ht="19.95" customHeight="1">
      <c r="B241" s="505"/>
      <c r="C241" s="481"/>
      <c r="D241" s="533"/>
      <c r="E241" s="525"/>
      <c r="F241" s="261" t="s">
        <v>1</v>
      </c>
      <c r="G241" s="138">
        <v>7.79</v>
      </c>
      <c r="H241" s="138">
        <v>7.19</v>
      </c>
      <c r="I241" s="154">
        <v>7.49</v>
      </c>
      <c r="J241" s="154">
        <v>8.4</v>
      </c>
      <c r="K241" s="508"/>
      <c r="L241" s="502"/>
      <c r="M241" s="564"/>
    </row>
    <row r="242" spans="2:13" s="190" customFormat="1" ht="19.95" customHeight="1">
      <c r="B242" s="505"/>
      <c r="C242" s="481"/>
      <c r="D242" s="533"/>
      <c r="E242" s="525" t="s">
        <v>281</v>
      </c>
      <c r="F242" s="261" t="s">
        <v>229</v>
      </c>
      <c r="G242" s="121">
        <v>2376</v>
      </c>
      <c r="H242" s="121">
        <v>2351</v>
      </c>
      <c r="I242" s="121">
        <v>2343</v>
      </c>
      <c r="J242" s="121">
        <v>2943</v>
      </c>
      <c r="K242" s="508"/>
      <c r="L242" s="502"/>
      <c r="M242" s="564"/>
    </row>
    <row r="243" spans="2:13" s="190" customFormat="1" ht="19.95" customHeight="1">
      <c r="B243" s="505"/>
      <c r="C243" s="481"/>
      <c r="D243" s="533"/>
      <c r="E243" s="525"/>
      <c r="F243" s="261" t="s">
        <v>1</v>
      </c>
      <c r="G243" s="138">
        <v>2.72</v>
      </c>
      <c r="H243" s="138">
        <v>2.66</v>
      </c>
      <c r="I243" s="154">
        <v>2.72</v>
      </c>
      <c r="J243" s="154">
        <v>3.5</v>
      </c>
      <c r="K243" s="508"/>
      <c r="L243" s="502"/>
      <c r="M243" s="564"/>
    </row>
    <row r="244" spans="2:13" s="190" customFormat="1" ht="19.95" customHeight="1">
      <c r="B244" s="505"/>
      <c r="C244" s="481"/>
      <c r="D244" s="533"/>
      <c r="E244" s="525" t="s">
        <v>282</v>
      </c>
      <c r="F244" s="261" t="s">
        <v>229</v>
      </c>
      <c r="G244" s="121">
        <v>147</v>
      </c>
      <c r="H244" s="121">
        <v>102</v>
      </c>
      <c r="I244" s="121">
        <v>83</v>
      </c>
      <c r="J244" s="121">
        <v>122</v>
      </c>
      <c r="K244" s="508"/>
      <c r="L244" s="502"/>
      <c r="M244" s="564"/>
    </row>
    <row r="245" spans="2:13" s="190" customFormat="1" ht="19.95" customHeight="1">
      <c r="B245" s="505"/>
      <c r="C245" s="481"/>
      <c r="D245" s="533"/>
      <c r="E245" s="525"/>
      <c r="F245" s="261" t="s">
        <v>1</v>
      </c>
      <c r="G245" s="138">
        <v>0.17</v>
      </c>
      <c r="H245" s="138">
        <v>0.12</v>
      </c>
      <c r="I245" s="154">
        <v>0.1</v>
      </c>
      <c r="J245" s="154">
        <v>0.15</v>
      </c>
      <c r="K245" s="508"/>
      <c r="L245" s="502"/>
      <c r="M245" s="564"/>
    </row>
    <row r="246" spans="2:13" s="190" customFormat="1" ht="19.95" customHeight="1">
      <c r="B246" s="505"/>
      <c r="C246" s="481"/>
      <c r="D246" s="533"/>
      <c r="E246" s="525" t="s">
        <v>283</v>
      </c>
      <c r="F246" s="261" t="s">
        <v>229</v>
      </c>
      <c r="G246" s="121">
        <v>11</v>
      </c>
      <c r="H246" s="121">
        <v>12</v>
      </c>
      <c r="I246" s="138">
        <v>10</v>
      </c>
      <c r="J246" s="138">
        <v>15</v>
      </c>
      <c r="K246" s="508"/>
      <c r="L246" s="502"/>
      <c r="M246" s="564"/>
    </row>
    <row r="247" spans="2:13" s="190" customFormat="1" ht="19.95" customHeight="1">
      <c r="B247" s="505"/>
      <c r="C247" s="481"/>
      <c r="D247" s="533"/>
      <c r="E247" s="525"/>
      <c r="F247" s="261" t="s">
        <v>1</v>
      </c>
      <c r="G247" s="138">
        <v>0.01</v>
      </c>
      <c r="H247" s="138">
        <v>0.01</v>
      </c>
      <c r="I247" s="154">
        <v>0.01</v>
      </c>
      <c r="J247" s="154">
        <v>0.02</v>
      </c>
      <c r="K247" s="508"/>
      <c r="L247" s="502"/>
      <c r="M247" s="564"/>
    </row>
    <row r="248" spans="2:13" s="190" customFormat="1" ht="19.95" customHeight="1">
      <c r="B248" s="505"/>
      <c r="C248" s="481"/>
      <c r="D248" s="533"/>
      <c r="E248" s="525" t="s">
        <v>284</v>
      </c>
      <c r="F248" s="261" t="s">
        <v>229</v>
      </c>
      <c r="G248" s="121">
        <v>62</v>
      </c>
      <c r="H248" s="121">
        <v>59</v>
      </c>
      <c r="I248" s="121">
        <v>51</v>
      </c>
      <c r="J248" s="121">
        <v>74</v>
      </c>
      <c r="K248" s="508"/>
      <c r="L248" s="502"/>
      <c r="M248" s="564"/>
    </row>
    <row r="249" spans="2:13" s="190" customFormat="1" ht="19.95" customHeight="1">
      <c r="B249" s="505"/>
      <c r="C249" s="481"/>
      <c r="D249" s="534"/>
      <c r="E249" s="536"/>
      <c r="F249" s="141" t="s">
        <v>1</v>
      </c>
      <c r="G249" s="142">
        <v>7.0000000000000007E-2</v>
      </c>
      <c r="H249" s="142">
        <v>7.0000000000000007E-2</v>
      </c>
      <c r="I249" s="142">
        <v>0.06</v>
      </c>
      <c r="J249" s="142">
        <v>0.09</v>
      </c>
      <c r="K249" s="509"/>
      <c r="L249" s="503"/>
      <c r="M249" s="565"/>
    </row>
    <row r="250" spans="2:13" s="190" customFormat="1" ht="19.95" customHeight="1">
      <c r="B250" s="505"/>
      <c r="C250" s="481"/>
      <c r="D250" s="532" t="s">
        <v>315</v>
      </c>
      <c r="E250" s="523" t="s">
        <v>240</v>
      </c>
      <c r="F250" s="135" t="s">
        <v>229</v>
      </c>
      <c r="G250" s="136">
        <v>323</v>
      </c>
      <c r="H250" s="136">
        <v>334</v>
      </c>
      <c r="I250" s="136">
        <v>387</v>
      </c>
      <c r="J250" s="136">
        <v>433</v>
      </c>
      <c r="K250" s="462" t="s">
        <v>14</v>
      </c>
      <c r="L250" s="500" t="s">
        <v>318</v>
      </c>
      <c r="M250" s="563"/>
    </row>
    <row r="251" spans="2:13" s="190" customFormat="1" ht="19.95" customHeight="1">
      <c r="B251" s="505"/>
      <c r="C251" s="481"/>
      <c r="D251" s="533"/>
      <c r="E251" s="524"/>
      <c r="F251" s="261" t="s">
        <v>1</v>
      </c>
      <c r="G251" s="138">
        <v>0.37</v>
      </c>
      <c r="H251" s="138">
        <v>0.38</v>
      </c>
      <c r="I251" s="154">
        <v>0.45</v>
      </c>
      <c r="J251" s="154">
        <v>0.52</v>
      </c>
      <c r="K251" s="508"/>
      <c r="L251" s="502"/>
      <c r="M251" s="564"/>
    </row>
    <row r="252" spans="2:13" s="190" customFormat="1" ht="19.95" customHeight="1">
      <c r="B252" s="505"/>
      <c r="C252" s="481"/>
      <c r="D252" s="533"/>
      <c r="E252" s="521" t="s">
        <v>241</v>
      </c>
      <c r="F252" s="261" t="s">
        <v>229</v>
      </c>
      <c r="G252" s="121">
        <v>1062</v>
      </c>
      <c r="H252" s="121">
        <v>969</v>
      </c>
      <c r="I252" s="121">
        <v>895</v>
      </c>
      <c r="J252" s="121">
        <v>1200</v>
      </c>
      <c r="K252" s="508"/>
      <c r="L252" s="502"/>
      <c r="M252" s="564"/>
    </row>
    <row r="253" spans="2:13" s="190" customFormat="1" ht="19.95" customHeight="1">
      <c r="B253" s="505"/>
      <c r="C253" s="481"/>
      <c r="D253" s="533"/>
      <c r="E253" s="524"/>
      <c r="F253" s="261" t="s">
        <v>1</v>
      </c>
      <c r="G253" s="138">
        <v>1.22</v>
      </c>
      <c r="H253" s="138">
        <v>1.1000000000000001</v>
      </c>
      <c r="I253" s="154">
        <v>1.04</v>
      </c>
      <c r="J253" s="154">
        <v>1.43</v>
      </c>
      <c r="K253" s="508"/>
      <c r="L253" s="502"/>
      <c r="M253" s="564"/>
    </row>
    <row r="254" spans="2:13" s="190" customFormat="1" ht="19.95" customHeight="1">
      <c r="B254" s="505"/>
      <c r="C254" s="481"/>
      <c r="D254" s="533"/>
      <c r="E254" s="521" t="s">
        <v>242</v>
      </c>
      <c r="F254" s="261" t="s">
        <v>229</v>
      </c>
      <c r="G254" s="121">
        <v>540</v>
      </c>
      <c r="H254" s="121">
        <v>532</v>
      </c>
      <c r="I254" s="121">
        <v>508</v>
      </c>
      <c r="J254" s="121">
        <v>585</v>
      </c>
      <c r="K254" s="508"/>
      <c r="L254" s="502"/>
      <c r="M254" s="564"/>
    </row>
    <row r="255" spans="2:13" s="190" customFormat="1" ht="19.95" customHeight="1">
      <c r="B255" s="505"/>
      <c r="C255" s="481"/>
      <c r="D255" s="533"/>
      <c r="E255" s="524"/>
      <c r="F255" s="261" t="s">
        <v>1</v>
      </c>
      <c r="G255" s="138">
        <v>0.62</v>
      </c>
      <c r="H255" s="138">
        <v>0.6</v>
      </c>
      <c r="I255" s="154">
        <v>0.59</v>
      </c>
      <c r="J255" s="154">
        <v>0.7</v>
      </c>
      <c r="K255" s="508"/>
      <c r="L255" s="502"/>
      <c r="M255" s="564"/>
    </row>
    <row r="256" spans="2:13" s="190" customFormat="1" ht="19.95" customHeight="1">
      <c r="B256" s="505"/>
      <c r="C256" s="481"/>
      <c r="D256" s="533"/>
      <c r="E256" s="521" t="s">
        <v>243</v>
      </c>
      <c r="F256" s="261" t="s">
        <v>229</v>
      </c>
      <c r="G256" s="121">
        <v>6047</v>
      </c>
      <c r="H256" s="121">
        <v>5771</v>
      </c>
      <c r="I256" s="121">
        <v>5984</v>
      </c>
      <c r="J256" s="121">
        <v>6621</v>
      </c>
      <c r="K256" s="508"/>
      <c r="L256" s="502"/>
      <c r="M256" s="564"/>
    </row>
    <row r="257" spans="2:13" s="190" customFormat="1" ht="19.95" customHeight="1">
      <c r="B257" s="505"/>
      <c r="C257" s="481"/>
      <c r="D257" s="533"/>
      <c r="E257" s="524"/>
      <c r="F257" s="261" t="s">
        <v>1</v>
      </c>
      <c r="G257" s="138">
        <v>6.93</v>
      </c>
      <c r="H257" s="138">
        <v>6.53</v>
      </c>
      <c r="I257" s="154">
        <v>6.94</v>
      </c>
      <c r="J257" s="154">
        <v>7.88</v>
      </c>
      <c r="K257" s="508"/>
      <c r="L257" s="502"/>
      <c r="M257" s="564"/>
    </row>
    <row r="258" spans="2:13" s="190" customFormat="1" ht="19.95" customHeight="1">
      <c r="B258" s="505"/>
      <c r="C258" s="481"/>
      <c r="D258" s="533"/>
      <c r="E258" s="521" t="s">
        <v>244</v>
      </c>
      <c r="F258" s="261" t="s">
        <v>229</v>
      </c>
      <c r="G258" s="121">
        <v>1426</v>
      </c>
      <c r="H258" s="121">
        <v>1269</v>
      </c>
      <c r="I258" s="121">
        <v>1173</v>
      </c>
      <c r="J258" s="121">
        <v>1372</v>
      </c>
      <c r="K258" s="508"/>
      <c r="L258" s="502"/>
      <c r="M258" s="564"/>
    </row>
    <row r="259" spans="2:13" s="190" customFormat="1" ht="19.95" customHeight="1">
      <c r="B259" s="505"/>
      <c r="C259" s="481"/>
      <c r="D259" s="534"/>
      <c r="E259" s="522"/>
      <c r="F259" s="141" t="s">
        <v>1</v>
      </c>
      <c r="G259" s="142">
        <v>1.63</v>
      </c>
      <c r="H259" s="142">
        <v>1.44</v>
      </c>
      <c r="I259" s="142">
        <v>1.36</v>
      </c>
      <c r="J259" s="142">
        <v>1.63</v>
      </c>
      <c r="K259" s="509"/>
      <c r="L259" s="503"/>
      <c r="M259" s="565"/>
    </row>
    <row r="260" spans="2:13" s="190" customFormat="1" ht="19.95" customHeight="1">
      <c r="B260" s="505"/>
      <c r="C260" s="481"/>
      <c r="D260" s="532" t="s">
        <v>316</v>
      </c>
      <c r="E260" s="523" t="s">
        <v>276</v>
      </c>
      <c r="F260" s="135" t="s">
        <v>229</v>
      </c>
      <c r="G260" s="136">
        <v>3324</v>
      </c>
      <c r="H260" s="136">
        <v>3045</v>
      </c>
      <c r="I260" s="136">
        <v>2724</v>
      </c>
      <c r="J260" s="136">
        <v>2755</v>
      </c>
      <c r="K260" s="462" t="s">
        <v>14</v>
      </c>
      <c r="L260" s="500" t="s">
        <v>318</v>
      </c>
      <c r="M260" s="563"/>
    </row>
    <row r="261" spans="2:13" s="190" customFormat="1" ht="19.95" customHeight="1">
      <c r="B261" s="505"/>
      <c r="C261" s="481"/>
      <c r="D261" s="533"/>
      <c r="E261" s="524"/>
      <c r="F261" s="261" t="s">
        <v>1</v>
      </c>
      <c r="G261" s="138">
        <v>3.81</v>
      </c>
      <c r="H261" s="138">
        <v>3.45</v>
      </c>
      <c r="I261" s="154">
        <v>3.16</v>
      </c>
      <c r="J261" s="154">
        <v>3.28</v>
      </c>
      <c r="K261" s="508"/>
      <c r="L261" s="502"/>
      <c r="M261" s="564"/>
    </row>
    <row r="262" spans="2:13" s="190" customFormat="1" ht="19.95" customHeight="1">
      <c r="B262" s="505"/>
      <c r="C262" s="481"/>
      <c r="D262" s="533"/>
      <c r="E262" s="521" t="s">
        <v>277</v>
      </c>
      <c r="F262" s="261" t="s">
        <v>229</v>
      </c>
      <c r="G262" s="121">
        <v>5056</v>
      </c>
      <c r="H262" s="121">
        <v>4961</v>
      </c>
      <c r="I262" s="121">
        <v>5178</v>
      </c>
      <c r="J262" s="121">
        <v>6034</v>
      </c>
      <c r="K262" s="508"/>
      <c r="L262" s="502"/>
      <c r="M262" s="564"/>
    </row>
    <row r="263" spans="2:13" s="190" customFormat="1" ht="19.95" customHeight="1">
      <c r="B263" s="505"/>
      <c r="C263" s="481"/>
      <c r="D263" s="533"/>
      <c r="E263" s="524"/>
      <c r="F263" s="261" t="s">
        <v>1</v>
      </c>
      <c r="G263" s="138">
        <v>5.79</v>
      </c>
      <c r="H263" s="138">
        <v>5.61</v>
      </c>
      <c r="I263" s="154">
        <v>6.01</v>
      </c>
      <c r="J263" s="154">
        <v>7.18</v>
      </c>
      <c r="K263" s="508"/>
      <c r="L263" s="502"/>
      <c r="M263" s="564"/>
    </row>
    <row r="264" spans="2:13" s="190" customFormat="1" ht="19.95" customHeight="1">
      <c r="B264" s="505"/>
      <c r="C264" s="481"/>
      <c r="D264" s="533"/>
      <c r="E264" s="521" t="s">
        <v>278</v>
      </c>
      <c r="F264" s="261" t="s">
        <v>229</v>
      </c>
      <c r="G264" s="121">
        <v>1018</v>
      </c>
      <c r="H264" s="121">
        <v>869</v>
      </c>
      <c r="I264" s="121">
        <v>1045</v>
      </c>
      <c r="J264" s="121">
        <v>1422</v>
      </c>
      <c r="K264" s="508"/>
      <c r="L264" s="502"/>
      <c r="M264" s="564"/>
    </row>
    <row r="265" spans="2:13" s="190" customFormat="1" ht="19.95" customHeight="1">
      <c r="B265" s="505"/>
      <c r="C265" s="481"/>
      <c r="D265" s="534"/>
      <c r="E265" s="522"/>
      <c r="F265" s="141" t="s">
        <v>1</v>
      </c>
      <c r="G265" s="142">
        <v>1.17</v>
      </c>
      <c r="H265" s="142">
        <v>0.98</v>
      </c>
      <c r="I265" s="142">
        <v>1.21</v>
      </c>
      <c r="J265" s="142">
        <v>1.69</v>
      </c>
      <c r="K265" s="509"/>
      <c r="L265" s="503"/>
      <c r="M265" s="565"/>
    </row>
    <row r="266" spans="2:13" s="190" customFormat="1" ht="19.95" customHeight="1">
      <c r="B266" s="505"/>
      <c r="C266" s="481"/>
      <c r="D266" s="460" t="s">
        <v>317</v>
      </c>
      <c r="E266" s="526" t="s">
        <v>268</v>
      </c>
      <c r="F266" s="135" t="s">
        <v>229</v>
      </c>
      <c r="G266" s="136">
        <v>22</v>
      </c>
      <c r="H266" s="136">
        <v>28</v>
      </c>
      <c r="I266" s="136">
        <v>24</v>
      </c>
      <c r="J266" s="136">
        <v>23</v>
      </c>
      <c r="K266" s="462" t="s">
        <v>14</v>
      </c>
      <c r="L266" s="500" t="s">
        <v>318</v>
      </c>
      <c r="M266" s="563"/>
    </row>
    <row r="267" spans="2:13" s="190" customFormat="1" ht="19.95" customHeight="1">
      <c r="B267" s="505"/>
      <c r="C267" s="481"/>
      <c r="D267" s="484"/>
      <c r="E267" s="524"/>
      <c r="F267" s="261" t="s">
        <v>1</v>
      </c>
      <c r="G267" s="154">
        <v>0.03</v>
      </c>
      <c r="H267" s="154">
        <v>0.03</v>
      </c>
      <c r="I267" s="154">
        <v>0.03</v>
      </c>
      <c r="J267" s="154">
        <v>0.03</v>
      </c>
      <c r="K267" s="508"/>
      <c r="L267" s="502"/>
      <c r="M267" s="564"/>
    </row>
    <row r="268" spans="2:13" s="190" customFormat="1" ht="19.95" customHeight="1">
      <c r="B268" s="505"/>
      <c r="C268" s="481"/>
      <c r="D268" s="484"/>
      <c r="E268" s="521" t="s">
        <v>269</v>
      </c>
      <c r="F268" s="261" t="s">
        <v>229</v>
      </c>
      <c r="G268" s="121">
        <v>1097</v>
      </c>
      <c r="H268" s="121">
        <v>1053</v>
      </c>
      <c r="I268" s="121">
        <v>1201</v>
      </c>
      <c r="J268" s="121">
        <v>1387</v>
      </c>
      <c r="K268" s="508"/>
      <c r="L268" s="502"/>
      <c r="M268" s="564"/>
    </row>
    <row r="269" spans="2:13" s="190" customFormat="1" ht="19.95" customHeight="1">
      <c r="B269" s="505"/>
      <c r="C269" s="481"/>
      <c r="D269" s="484"/>
      <c r="E269" s="524"/>
      <c r="F269" s="261" t="s">
        <v>1</v>
      </c>
      <c r="G269" s="154">
        <v>1.26</v>
      </c>
      <c r="H269" s="154">
        <v>1.19</v>
      </c>
      <c r="I269" s="154">
        <v>1.39</v>
      </c>
      <c r="J269" s="154">
        <v>1.65</v>
      </c>
      <c r="K269" s="508"/>
      <c r="L269" s="502"/>
      <c r="M269" s="564"/>
    </row>
    <row r="270" spans="2:13" s="190" customFormat="1" ht="19.95" customHeight="1">
      <c r="B270" s="505"/>
      <c r="C270" s="481"/>
      <c r="D270" s="484"/>
      <c r="E270" s="527" t="s">
        <v>306</v>
      </c>
      <c r="F270" s="261" t="s">
        <v>229</v>
      </c>
      <c r="G270" s="121">
        <v>552</v>
      </c>
      <c r="H270" s="121">
        <v>474</v>
      </c>
      <c r="I270" s="121">
        <v>465</v>
      </c>
      <c r="J270" s="121">
        <v>633</v>
      </c>
      <c r="K270" s="508"/>
      <c r="L270" s="502"/>
      <c r="M270" s="564"/>
    </row>
    <row r="271" spans="2:13" s="190" customFormat="1" ht="19.95" customHeight="1">
      <c r="B271" s="505"/>
      <c r="C271" s="481"/>
      <c r="D271" s="484"/>
      <c r="E271" s="528"/>
      <c r="F271" s="261" t="s">
        <v>1</v>
      </c>
      <c r="G271" s="138">
        <v>0.63</v>
      </c>
      <c r="H271" s="138">
        <v>0.54</v>
      </c>
      <c r="I271" s="138">
        <v>0.54</v>
      </c>
      <c r="J271" s="138">
        <v>0.75</v>
      </c>
      <c r="K271" s="508"/>
      <c r="L271" s="502"/>
      <c r="M271" s="564"/>
    </row>
    <row r="272" spans="2:13" s="190" customFormat="1" ht="19.95" customHeight="1">
      <c r="B272" s="505"/>
      <c r="C272" s="481"/>
      <c r="D272" s="484"/>
      <c r="E272" s="527" t="s">
        <v>271</v>
      </c>
      <c r="F272" s="261" t="s">
        <v>229</v>
      </c>
      <c r="G272" s="121">
        <v>5063</v>
      </c>
      <c r="H272" s="121">
        <v>4494</v>
      </c>
      <c r="I272" s="121">
        <v>4536</v>
      </c>
      <c r="J272" s="121">
        <v>5390</v>
      </c>
      <c r="K272" s="508"/>
      <c r="L272" s="502"/>
      <c r="M272" s="564"/>
    </row>
    <row r="273" spans="2:13" s="190" customFormat="1" ht="19.95" customHeight="1">
      <c r="B273" s="505"/>
      <c r="C273" s="481"/>
      <c r="D273" s="484"/>
      <c r="E273" s="528"/>
      <c r="F273" s="261" t="s">
        <v>1</v>
      </c>
      <c r="G273" s="138">
        <v>5.8</v>
      </c>
      <c r="H273" s="138">
        <v>5.08</v>
      </c>
      <c r="I273" s="138">
        <v>5.26</v>
      </c>
      <c r="J273" s="138">
        <v>6.41</v>
      </c>
      <c r="K273" s="508"/>
      <c r="L273" s="502"/>
      <c r="M273" s="564"/>
    </row>
    <row r="274" spans="2:13" s="190" customFormat="1" ht="19.95" customHeight="1">
      <c r="B274" s="505"/>
      <c r="C274" s="481"/>
      <c r="D274" s="484"/>
      <c r="E274" s="527" t="s">
        <v>272</v>
      </c>
      <c r="F274" s="261" t="s">
        <v>229</v>
      </c>
      <c r="G274" s="121">
        <v>2202</v>
      </c>
      <c r="H274" s="121">
        <v>2391</v>
      </c>
      <c r="I274" s="121">
        <v>2317</v>
      </c>
      <c r="J274" s="121">
        <v>2534</v>
      </c>
      <c r="K274" s="508"/>
      <c r="L274" s="502"/>
      <c r="M274" s="564"/>
    </row>
    <row r="275" spans="2:13" s="190" customFormat="1" ht="19.95" customHeight="1">
      <c r="B275" s="505"/>
      <c r="C275" s="481"/>
      <c r="D275" s="484"/>
      <c r="E275" s="528"/>
      <c r="F275" s="261" t="s">
        <v>1</v>
      </c>
      <c r="G275" s="154">
        <v>2.52</v>
      </c>
      <c r="H275" s="154">
        <v>2.71</v>
      </c>
      <c r="I275" s="154">
        <v>2.69</v>
      </c>
      <c r="J275" s="154">
        <v>3.02</v>
      </c>
      <c r="K275" s="508"/>
      <c r="L275" s="502"/>
      <c r="M275" s="564"/>
    </row>
    <row r="276" spans="2:13" s="190" customFormat="1" ht="19.95" customHeight="1">
      <c r="B276" s="505"/>
      <c r="C276" s="481"/>
      <c r="D276" s="484"/>
      <c r="E276" s="527" t="s">
        <v>273</v>
      </c>
      <c r="F276" s="261" t="s">
        <v>229</v>
      </c>
      <c r="G276" s="121">
        <v>462</v>
      </c>
      <c r="H276" s="121">
        <v>435</v>
      </c>
      <c r="I276" s="121">
        <v>404</v>
      </c>
      <c r="J276" s="121">
        <v>244</v>
      </c>
      <c r="K276" s="508"/>
      <c r="L276" s="502"/>
      <c r="M276" s="564"/>
    </row>
    <row r="277" spans="2:13" s="190" customFormat="1" ht="19.95" customHeight="1" thickBot="1">
      <c r="B277" s="505"/>
      <c r="C277" s="486"/>
      <c r="D277" s="461"/>
      <c r="E277" s="463"/>
      <c r="F277" s="262" t="s">
        <v>1</v>
      </c>
      <c r="G277" s="155">
        <v>0.53</v>
      </c>
      <c r="H277" s="155">
        <v>0.49</v>
      </c>
      <c r="I277" s="155">
        <v>0.47</v>
      </c>
      <c r="J277" s="155">
        <v>0.28999999999999998</v>
      </c>
      <c r="K277" s="463"/>
      <c r="L277" s="501"/>
      <c r="M277" s="572"/>
    </row>
    <row r="278" spans="2:13" s="190" customFormat="1" ht="19.95" customHeight="1">
      <c r="B278" s="505"/>
      <c r="C278" s="485" t="s">
        <v>319</v>
      </c>
      <c r="D278" s="475" t="s">
        <v>319</v>
      </c>
      <c r="E278" s="529" t="s">
        <v>5</v>
      </c>
      <c r="F278" s="65" t="s">
        <v>229</v>
      </c>
      <c r="G278" s="120">
        <v>7609</v>
      </c>
      <c r="H278" s="120">
        <v>8987</v>
      </c>
      <c r="I278" s="120">
        <v>7555</v>
      </c>
      <c r="J278" s="120">
        <v>8693</v>
      </c>
      <c r="K278" s="483" t="s">
        <v>14</v>
      </c>
      <c r="L278" s="581" t="s">
        <v>330</v>
      </c>
      <c r="M278" s="586"/>
    </row>
    <row r="279" spans="2:13" s="190" customFormat="1" ht="19.95" customHeight="1">
      <c r="B279" s="505"/>
      <c r="C279" s="481"/>
      <c r="D279" s="469"/>
      <c r="E279" s="524"/>
      <c r="F279" s="261" t="s">
        <v>1</v>
      </c>
      <c r="G279" s="138">
        <v>8.7200000000000006</v>
      </c>
      <c r="H279" s="138">
        <v>10.17</v>
      </c>
      <c r="I279" s="138">
        <v>8.76</v>
      </c>
      <c r="J279" s="138">
        <v>10.35</v>
      </c>
      <c r="K279" s="596"/>
      <c r="L279" s="578"/>
      <c r="M279" s="583"/>
    </row>
    <row r="280" spans="2:13" s="190" customFormat="1" ht="19.95" customHeight="1">
      <c r="B280" s="505"/>
      <c r="C280" s="481"/>
      <c r="D280" s="469"/>
      <c r="E280" s="521" t="s">
        <v>320</v>
      </c>
      <c r="F280" s="261" t="s">
        <v>229</v>
      </c>
      <c r="G280" s="121">
        <v>3297</v>
      </c>
      <c r="H280" s="121">
        <v>2867</v>
      </c>
      <c r="I280" s="121">
        <v>2171</v>
      </c>
      <c r="J280" s="121">
        <v>2361</v>
      </c>
      <c r="K280" s="474" t="s">
        <v>92</v>
      </c>
      <c r="L280" s="578"/>
      <c r="M280" s="583"/>
    </row>
    <row r="281" spans="2:13" s="190" customFormat="1" ht="19.95" customHeight="1">
      <c r="B281" s="505"/>
      <c r="C281" s="481"/>
      <c r="D281" s="535"/>
      <c r="E281" s="522"/>
      <c r="F281" s="141" t="s">
        <v>1</v>
      </c>
      <c r="G281" s="142">
        <v>3.74</v>
      </c>
      <c r="H281" s="142">
        <v>3.24</v>
      </c>
      <c r="I281" s="142">
        <v>2.52</v>
      </c>
      <c r="J281" s="142">
        <v>2.81</v>
      </c>
      <c r="K281" s="510"/>
      <c r="L281" s="580"/>
      <c r="M281" s="584"/>
    </row>
    <row r="282" spans="2:13" s="190" customFormat="1" ht="19.95" customHeight="1">
      <c r="B282" s="505"/>
      <c r="C282" s="481"/>
      <c r="D282" s="545" t="s">
        <v>321</v>
      </c>
      <c r="E282" s="363" t="s">
        <v>250</v>
      </c>
      <c r="F282" s="261" t="s">
        <v>1</v>
      </c>
      <c r="G282" s="138">
        <v>4.25</v>
      </c>
      <c r="H282" s="137">
        <v>4.99</v>
      </c>
      <c r="I282" s="137">
        <v>4.2699999999999996</v>
      </c>
      <c r="J282" s="137">
        <v>5.51</v>
      </c>
      <c r="K282" s="462" t="s">
        <v>14</v>
      </c>
      <c r="L282" s="500" t="s">
        <v>330</v>
      </c>
      <c r="M282" s="563"/>
    </row>
    <row r="283" spans="2:13" s="190" customFormat="1" ht="19.95" customHeight="1">
      <c r="B283" s="505"/>
      <c r="C283" s="481"/>
      <c r="D283" s="534"/>
      <c r="E283" s="364" t="s">
        <v>251</v>
      </c>
      <c r="F283" s="141" t="s">
        <v>1</v>
      </c>
      <c r="G283" s="142">
        <v>4.47</v>
      </c>
      <c r="H283" s="142">
        <v>5.18</v>
      </c>
      <c r="I283" s="142">
        <v>4.49</v>
      </c>
      <c r="J283" s="142">
        <v>5.5</v>
      </c>
      <c r="K283" s="509"/>
      <c r="L283" s="503"/>
      <c r="M283" s="565"/>
    </row>
    <row r="284" spans="2:13" s="190" customFormat="1" ht="19.95" customHeight="1">
      <c r="B284" s="505"/>
      <c r="C284" s="481"/>
      <c r="D284" s="545" t="s">
        <v>322</v>
      </c>
      <c r="E284" s="363" t="s">
        <v>250</v>
      </c>
      <c r="F284" s="245" t="s">
        <v>1</v>
      </c>
      <c r="G284" s="137">
        <v>1.7</v>
      </c>
      <c r="H284" s="137">
        <v>1.53</v>
      </c>
      <c r="I284" s="137">
        <v>1.1599999999999999</v>
      </c>
      <c r="J284" s="137">
        <v>1.33</v>
      </c>
      <c r="K284" s="462" t="s">
        <v>92</v>
      </c>
      <c r="L284" s="500" t="s">
        <v>331</v>
      </c>
      <c r="M284" s="563"/>
    </row>
    <row r="285" spans="2:13" s="190" customFormat="1" ht="19.95" customHeight="1">
      <c r="B285" s="505"/>
      <c r="C285" s="481"/>
      <c r="D285" s="534"/>
      <c r="E285" s="364" t="s">
        <v>251</v>
      </c>
      <c r="F285" s="141" t="s">
        <v>1</v>
      </c>
      <c r="G285" s="142">
        <v>2.04</v>
      </c>
      <c r="H285" s="142">
        <v>1.72</v>
      </c>
      <c r="I285" s="142">
        <v>1.36</v>
      </c>
      <c r="J285" s="142">
        <v>1.48</v>
      </c>
      <c r="K285" s="509"/>
      <c r="L285" s="503"/>
      <c r="M285" s="565"/>
    </row>
    <row r="286" spans="2:13" s="190" customFormat="1" ht="19.95" customHeight="1">
      <c r="B286" s="505"/>
      <c r="C286" s="481"/>
      <c r="D286" s="533" t="s">
        <v>323</v>
      </c>
      <c r="E286" s="363" t="s">
        <v>280</v>
      </c>
      <c r="F286" s="261" t="s">
        <v>1</v>
      </c>
      <c r="G286" s="138">
        <v>5.97</v>
      </c>
      <c r="H286" s="137">
        <v>6.97</v>
      </c>
      <c r="I286" s="137">
        <v>5.98</v>
      </c>
      <c r="J286" s="137">
        <v>6.9</v>
      </c>
      <c r="K286" s="462" t="s">
        <v>14</v>
      </c>
      <c r="L286" s="500" t="s">
        <v>330</v>
      </c>
      <c r="M286" s="563"/>
    </row>
    <row r="287" spans="2:13" s="190" customFormat="1" ht="19.95" customHeight="1">
      <c r="B287" s="505"/>
      <c r="C287" s="481"/>
      <c r="D287" s="533"/>
      <c r="E287" s="363" t="s">
        <v>281</v>
      </c>
      <c r="F287" s="261" t="s">
        <v>1</v>
      </c>
      <c r="G287" s="138">
        <v>2.58</v>
      </c>
      <c r="H287" s="138">
        <v>3.02</v>
      </c>
      <c r="I287" s="138">
        <v>2.63</v>
      </c>
      <c r="J287" s="138">
        <v>3.22</v>
      </c>
      <c r="K287" s="508"/>
      <c r="L287" s="502"/>
      <c r="M287" s="564"/>
    </row>
    <row r="288" spans="2:13" s="190" customFormat="1" ht="19.95" customHeight="1">
      <c r="B288" s="505"/>
      <c r="C288" s="481"/>
      <c r="D288" s="533"/>
      <c r="E288" s="363" t="s">
        <v>282</v>
      </c>
      <c r="F288" s="261" t="s">
        <v>1</v>
      </c>
      <c r="G288" s="138">
        <v>0.09</v>
      </c>
      <c r="H288" s="138">
        <v>0.06</v>
      </c>
      <c r="I288" s="138">
        <v>0.09</v>
      </c>
      <c r="J288" s="138">
        <v>0.17</v>
      </c>
      <c r="K288" s="508"/>
      <c r="L288" s="502"/>
      <c r="M288" s="564"/>
    </row>
    <row r="289" spans="2:13" s="190" customFormat="1" ht="19.95" customHeight="1">
      <c r="B289" s="505"/>
      <c r="C289" s="481"/>
      <c r="D289" s="533"/>
      <c r="E289" s="363" t="s">
        <v>283</v>
      </c>
      <c r="F289" s="261" t="s">
        <v>1</v>
      </c>
      <c r="G289" s="138">
        <v>0.01</v>
      </c>
      <c r="H289" s="138">
        <v>0.01</v>
      </c>
      <c r="I289" s="138">
        <v>0.01</v>
      </c>
      <c r="J289" s="138">
        <v>0.02</v>
      </c>
      <c r="K289" s="508"/>
      <c r="L289" s="502"/>
      <c r="M289" s="564"/>
    </row>
    <row r="290" spans="2:13" s="190" customFormat="1" ht="19.95" customHeight="1">
      <c r="B290" s="505"/>
      <c r="C290" s="481"/>
      <c r="D290" s="534"/>
      <c r="E290" s="364" t="s">
        <v>284</v>
      </c>
      <c r="F290" s="141" t="s">
        <v>1</v>
      </c>
      <c r="G290" s="142">
        <v>0.08</v>
      </c>
      <c r="H290" s="142">
        <v>0.1</v>
      </c>
      <c r="I290" s="142">
        <v>0.05</v>
      </c>
      <c r="J290" s="142">
        <v>0.05</v>
      </c>
      <c r="K290" s="509"/>
      <c r="L290" s="503"/>
      <c r="M290" s="565"/>
    </row>
    <row r="291" spans="2:13" s="190" customFormat="1" ht="19.95" customHeight="1">
      <c r="B291" s="505"/>
      <c r="C291" s="481"/>
      <c r="D291" s="545" t="s">
        <v>324</v>
      </c>
      <c r="E291" s="363" t="s">
        <v>280</v>
      </c>
      <c r="F291" s="245" t="s">
        <v>1</v>
      </c>
      <c r="G291" s="137">
        <v>2.77</v>
      </c>
      <c r="H291" s="137">
        <v>2.37</v>
      </c>
      <c r="I291" s="137">
        <v>1.77</v>
      </c>
      <c r="J291" s="137">
        <v>1.92</v>
      </c>
      <c r="K291" s="462" t="s">
        <v>92</v>
      </c>
      <c r="L291" s="500" t="s">
        <v>331</v>
      </c>
      <c r="M291" s="563"/>
    </row>
    <row r="292" spans="2:13" s="190" customFormat="1" ht="19.95" customHeight="1">
      <c r="B292" s="505"/>
      <c r="C292" s="481"/>
      <c r="D292" s="533"/>
      <c r="E292" s="363" t="s">
        <v>281</v>
      </c>
      <c r="F292" s="261" t="s">
        <v>1</v>
      </c>
      <c r="G292" s="138">
        <v>0.87</v>
      </c>
      <c r="H292" s="138">
        <v>0.85</v>
      </c>
      <c r="I292" s="138">
        <v>0.71</v>
      </c>
      <c r="J292" s="138">
        <v>0.84</v>
      </c>
      <c r="K292" s="508"/>
      <c r="L292" s="502"/>
      <c r="M292" s="564"/>
    </row>
    <row r="293" spans="2:13" s="190" customFormat="1" ht="19.95" customHeight="1">
      <c r="B293" s="505"/>
      <c r="C293" s="481"/>
      <c r="D293" s="533"/>
      <c r="E293" s="363" t="s">
        <v>282</v>
      </c>
      <c r="F293" s="261" t="s">
        <v>1</v>
      </c>
      <c r="G293" s="138">
        <v>0.08</v>
      </c>
      <c r="H293" s="138">
        <v>0.03</v>
      </c>
      <c r="I293" s="138">
        <v>0.02</v>
      </c>
      <c r="J293" s="138">
        <v>0.03</v>
      </c>
      <c r="K293" s="508"/>
      <c r="L293" s="502"/>
      <c r="M293" s="564"/>
    </row>
    <row r="294" spans="2:13" s="190" customFormat="1" ht="19.95" customHeight="1">
      <c r="B294" s="505"/>
      <c r="C294" s="481"/>
      <c r="D294" s="533"/>
      <c r="E294" s="363" t="s">
        <v>283</v>
      </c>
      <c r="F294" s="261" t="s">
        <v>1</v>
      </c>
      <c r="G294" s="138">
        <v>0.01</v>
      </c>
      <c r="H294" s="265">
        <v>0</v>
      </c>
      <c r="I294" s="265">
        <v>0</v>
      </c>
      <c r="J294" s="265">
        <v>0</v>
      </c>
      <c r="K294" s="508"/>
      <c r="L294" s="502"/>
      <c r="M294" s="564"/>
    </row>
    <row r="295" spans="2:13" s="190" customFormat="1" ht="19.95" customHeight="1">
      <c r="B295" s="505"/>
      <c r="C295" s="481"/>
      <c r="D295" s="534"/>
      <c r="E295" s="364" t="s">
        <v>284</v>
      </c>
      <c r="F295" s="141" t="s">
        <v>1</v>
      </c>
      <c r="G295" s="142">
        <v>0.02</v>
      </c>
      <c r="H295" s="142">
        <v>0.03</v>
      </c>
      <c r="I295" s="142">
        <v>0.02</v>
      </c>
      <c r="J295" s="142">
        <v>0.02</v>
      </c>
      <c r="K295" s="509"/>
      <c r="L295" s="503"/>
      <c r="M295" s="565"/>
    </row>
    <row r="296" spans="2:13" s="190" customFormat="1" ht="19.95" customHeight="1">
      <c r="B296" s="505"/>
      <c r="C296" s="481"/>
      <c r="D296" s="551" t="s">
        <v>325</v>
      </c>
      <c r="E296" s="367" t="s">
        <v>276</v>
      </c>
      <c r="F296" s="135" t="s">
        <v>1</v>
      </c>
      <c r="G296" s="146">
        <v>4.53</v>
      </c>
      <c r="H296" s="146">
        <v>5.4</v>
      </c>
      <c r="I296" s="146">
        <v>4.25</v>
      </c>
      <c r="J296" s="146">
        <v>4.16</v>
      </c>
      <c r="K296" s="462" t="s">
        <v>14</v>
      </c>
      <c r="L296" s="500" t="s">
        <v>330</v>
      </c>
      <c r="M296" s="563"/>
    </row>
    <row r="297" spans="2:13" s="190" customFormat="1" ht="19.95" customHeight="1">
      <c r="B297" s="505"/>
      <c r="C297" s="481"/>
      <c r="D297" s="552"/>
      <c r="E297" s="363" t="s">
        <v>277</v>
      </c>
      <c r="F297" s="261" t="s">
        <v>1</v>
      </c>
      <c r="G297" s="138">
        <v>3.58</v>
      </c>
      <c r="H297" s="138">
        <v>4.25</v>
      </c>
      <c r="I297" s="138">
        <v>3.88</v>
      </c>
      <c r="J297" s="138">
        <v>5.29</v>
      </c>
      <c r="K297" s="508"/>
      <c r="L297" s="502"/>
      <c r="M297" s="564"/>
    </row>
    <row r="298" spans="2:13" s="190" customFormat="1" ht="19.95" customHeight="1">
      <c r="B298" s="505"/>
      <c r="C298" s="481"/>
      <c r="D298" s="553"/>
      <c r="E298" s="364" t="s">
        <v>278</v>
      </c>
      <c r="F298" s="141" t="s">
        <v>1</v>
      </c>
      <c r="G298" s="142">
        <v>0.6</v>
      </c>
      <c r="H298" s="142">
        <v>0.51</v>
      </c>
      <c r="I298" s="142">
        <v>0.63</v>
      </c>
      <c r="J298" s="142">
        <v>0.9</v>
      </c>
      <c r="K298" s="509"/>
      <c r="L298" s="503"/>
      <c r="M298" s="565"/>
    </row>
    <row r="299" spans="2:13" s="190" customFormat="1" ht="19.95" customHeight="1">
      <c r="B299" s="505"/>
      <c r="C299" s="481"/>
      <c r="D299" s="537" t="s">
        <v>326</v>
      </c>
      <c r="E299" s="367" t="s">
        <v>276</v>
      </c>
      <c r="F299" s="135" t="s">
        <v>1</v>
      </c>
      <c r="G299" s="146">
        <v>1.84</v>
      </c>
      <c r="H299" s="146">
        <v>1.67</v>
      </c>
      <c r="I299" s="146">
        <v>1.29</v>
      </c>
      <c r="J299" s="146">
        <v>1.52</v>
      </c>
      <c r="K299" s="462" t="s">
        <v>92</v>
      </c>
      <c r="L299" s="500" t="s">
        <v>331</v>
      </c>
      <c r="M299" s="396"/>
    </row>
    <row r="300" spans="2:13" s="190" customFormat="1" ht="19.95" customHeight="1">
      <c r="B300" s="505"/>
      <c r="C300" s="481"/>
      <c r="D300" s="538"/>
      <c r="E300" s="363" t="s">
        <v>277</v>
      </c>
      <c r="F300" s="261" t="s">
        <v>1</v>
      </c>
      <c r="G300" s="138">
        <v>1.92</v>
      </c>
      <c r="H300" s="138">
        <v>1.54</v>
      </c>
      <c r="I300" s="138">
        <v>1.21</v>
      </c>
      <c r="J300" s="138">
        <v>1.28</v>
      </c>
      <c r="K300" s="508"/>
      <c r="L300" s="502"/>
      <c r="M300" s="396"/>
    </row>
    <row r="301" spans="2:13" s="190" customFormat="1" ht="19.95" customHeight="1">
      <c r="B301" s="505"/>
      <c r="C301" s="481"/>
      <c r="D301" s="539"/>
      <c r="E301" s="364" t="s">
        <v>278</v>
      </c>
      <c r="F301" s="141" t="s">
        <v>1</v>
      </c>
      <c r="G301" s="142">
        <v>0.02</v>
      </c>
      <c r="H301" s="142">
        <v>0.03</v>
      </c>
      <c r="I301" s="142">
        <v>0.02</v>
      </c>
      <c r="J301" s="142">
        <v>0.02</v>
      </c>
      <c r="K301" s="509"/>
      <c r="L301" s="503"/>
      <c r="M301" s="396"/>
    </row>
    <row r="302" spans="2:13" s="190" customFormat="1" ht="19.95" customHeight="1">
      <c r="B302" s="505"/>
      <c r="C302" s="481"/>
      <c r="D302" s="532" t="s">
        <v>327</v>
      </c>
      <c r="E302" s="367" t="s">
        <v>240</v>
      </c>
      <c r="F302" s="135" t="s">
        <v>1</v>
      </c>
      <c r="G302" s="146">
        <v>0.37</v>
      </c>
      <c r="H302" s="146">
        <v>0.35</v>
      </c>
      <c r="I302" s="146">
        <v>0.41</v>
      </c>
      <c r="J302" s="146">
        <v>0.4</v>
      </c>
      <c r="K302" s="537" t="s">
        <v>14</v>
      </c>
      <c r="L302" s="577" t="s">
        <v>330</v>
      </c>
      <c r="M302" s="582"/>
    </row>
    <row r="303" spans="2:13" s="190" customFormat="1" ht="19.95" customHeight="1">
      <c r="B303" s="505"/>
      <c r="C303" s="481"/>
      <c r="D303" s="533"/>
      <c r="E303" s="363" t="s">
        <v>241</v>
      </c>
      <c r="F303" s="261" t="s">
        <v>1</v>
      </c>
      <c r="G303" s="138">
        <v>0.99</v>
      </c>
      <c r="H303" s="138">
        <v>0.94</v>
      </c>
      <c r="I303" s="138">
        <v>0.95</v>
      </c>
      <c r="J303" s="138">
        <v>1.0900000000000001</v>
      </c>
      <c r="K303" s="538"/>
      <c r="L303" s="578"/>
      <c r="M303" s="583"/>
    </row>
    <row r="304" spans="2:13" s="190" customFormat="1" ht="19.95" customHeight="1">
      <c r="B304" s="505"/>
      <c r="C304" s="481"/>
      <c r="D304" s="533"/>
      <c r="E304" s="363" t="s">
        <v>242</v>
      </c>
      <c r="F304" s="261" t="s">
        <v>1</v>
      </c>
      <c r="G304" s="138">
        <v>0.49</v>
      </c>
      <c r="H304" s="138">
        <v>0.6</v>
      </c>
      <c r="I304" s="138">
        <v>0.53</v>
      </c>
      <c r="J304" s="138">
        <v>0.52</v>
      </c>
      <c r="K304" s="538"/>
      <c r="L304" s="578"/>
      <c r="M304" s="583"/>
    </row>
    <row r="305" spans="2:13" s="190" customFormat="1" ht="19.95" customHeight="1">
      <c r="B305" s="505"/>
      <c r="C305" s="481"/>
      <c r="D305" s="533"/>
      <c r="E305" s="363" t="s">
        <v>243</v>
      </c>
      <c r="F305" s="261" t="s">
        <v>1</v>
      </c>
      <c r="G305" s="138">
        <v>5.63</v>
      </c>
      <c r="H305" s="138">
        <v>6.93</v>
      </c>
      <c r="I305" s="138">
        <v>5.74</v>
      </c>
      <c r="J305" s="138">
        <v>7.13</v>
      </c>
      <c r="K305" s="538"/>
      <c r="L305" s="578"/>
      <c r="M305" s="583"/>
    </row>
    <row r="306" spans="2:13" s="190" customFormat="1" ht="19.95" customHeight="1">
      <c r="B306" s="505"/>
      <c r="C306" s="481"/>
      <c r="D306" s="534"/>
      <c r="E306" s="364" t="s">
        <v>244</v>
      </c>
      <c r="F306" s="141" t="s">
        <v>1</v>
      </c>
      <c r="G306" s="142">
        <v>1.25</v>
      </c>
      <c r="H306" s="142">
        <v>1.35</v>
      </c>
      <c r="I306" s="142">
        <v>1.1399999999999999</v>
      </c>
      <c r="J306" s="142">
        <v>1.2</v>
      </c>
      <c r="K306" s="539"/>
      <c r="L306" s="580"/>
      <c r="M306" s="584"/>
    </row>
    <row r="307" spans="2:13" s="190" customFormat="1" ht="19.95" customHeight="1">
      <c r="B307" s="505"/>
      <c r="C307" s="481"/>
      <c r="D307" s="492" t="s">
        <v>328</v>
      </c>
      <c r="E307" s="362" t="s">
        <v>268</v>
      </c>
      <c r="F307" s="135" t="s">
        <v>1</v>
      </c>
      <c r="G307" s="146">
        <v>0.02</v>
      </c>
      <c r="H307" s="146">
        <v>0.02</v>
      </c>
      <c r="I307" s="146">
        <v>0.02</v>
      </c>
      <c r="J307" s="146">
        <v>0.03</v>
      </c>
      <c r="K307" s="537" t="s">
        <v>14</v>
      </c>
      <c r="L307" s="577" t="s">
        <v>330</v>
      </c>
      <c r="M307" s="582"/>
    </row>
    <row r="308" spans="2:13" s="190" customFormat="1" ht="19.95" customHeight="1">
      <c r="B308" s="505"/>
      <c r="C308" s="481"/>
      <c r="D308" s="473"/>
      <c r="E308" s="363" t="s">
        <v>269</v>
      </c>
      <c r="F308" s="261" t="s">
        <v>1</v>
      </c>
      <c r="G308" s="96">
        <v>0.7</v>
      </c>
      <c r="H308" s="96">
        <v>0.68</v>
      </c>
      <c r="I308" s="96">
        <v>0.73</v>
      </c>
      <c r="J308" s="96">
        <v>0.93</v>
      </c>
      <c r="K308" s="538"/>
      <c r="L308" s="578"/>
      <c r="M308" s="583"/>
    </row>
    <row r="309" spans="2:13" s="190" customFormat="1" ht="19.95" customHeight="1">
      <c r="B309" s="505"/>
      <c r="C309" s="481"/>
      <c r="D309" s="473"/>
      <c r="E309" s="283" t="s">
        <v>306</v>
      </c>
      <c r="F309" s="261" t="s">
        <v>1</v>
      </c>
      <c r="G309" s="96">
        <v>0.33</v>
      </c>
      <c r="H309" s="96">
        <v>0.3</v>
      </c>
      <c r="I309" s="96">
        <v>0.28000000000000003</v>
      </c>
      <c r="J309" s="96">
        <v>0.4</v>
      </c>
      <c r="K309" s="538"/>
      <c r="L309" s="578"/>
      <c r="M309" s="583"/>
    </row>
    <row r="310" spans="2:13" s="190" customFormat="1" ht="19.95" customHeight="1">
      <c r="B310" s="505"/>
      <c r="C310" s="481"/>
      <c r="D310" s="473"/>
      <c r="E310" s="283" t="s">
        <v>271</v>
      </c>
      <c r="F310" s="261" t="s">
        <v>1</v>
      </c>
      <c r="G310" s="138">
        <v>3.81</v>
      </c>
      <c r="H310" s="138">
        <v>4.22</v>
      </c>
      <c r="I310" s="138">
        <v>3.7</v>
      </c>
      <c r="J310" s="138">
        <v>5.29</v>
      </c>
      <c r="K310" s="538"/>
      <c r="L310" s="578"/>
      <c r="M310" s="583"/>
    </row>
    <row r="311" spans="2:13" s="190" customFormat="1" ht="19.95" customHeight="1">
      <c r="B311" s="505"/>
      <c r="C311" s="481"/>
      <c r="D311" s="474"/>
      <c r="E311" s="292" t="s">
        <v>272</v>
      </c>
      <c r="F311" s="261" t="s">
        <v>1</v>
      </c>
      <c r="G311" s="140">
        <v>3.18</v>
      </c>
      <c r="H311" s="140">
        <v>4.66</v>
      </c>
      <c r="I311" s="140">
        <v>3.54</v>
      </c>
      <c r="J311" s="140">
        <v>3.35</v>
      </c>
      <c r="K311" s="527"/>
      <c r="L311" s="579"/>
      <c r="M311" s="585"/>
    </row>
    <row r="312" spans="2:13" s="190" customFormat="1" ht="19.95" customHeight="1">
      <c r="B312" s="505"/>
      <c r="C312" s="481"/>
      <c r="D312" s="474"/>
      <c r="E312" s="284" t="s">
        <v>273</v>
      </c>
      <c r="F312" s="141" t="s">
        <v>1</v>
      </c>
      <c r="G312" s="142">
        <v>0.69</v>
      </c>
      <c r="H312" s="142">
        <v>0.28999999999999998</v>
      </c>
      <c r="I312" s="142">
        <v>0.49</v>
      </c>
      <c r="J312" s="142">
        <v>0.35</v>
      </c>
      <c r="K312" s="539"/>
      <c r="L312" s="580"/>
      <c r="M312" s="584"/>
    </row>
    <row r="313" spans="2:13" s="190" customFormat="1" ht="19.95" customHeight="1">
      <c r="B313" s="505"/>
      <c r="C313" s="481"/>
      <c r="D313" s="492" t="s">
        <v>329</v>
      </c>
      <c r="E313" s="362" t="s">
        <v>268</v>
      </c>
      <c r="F313" s="135" t="s">
        <v>1</v>
      </c>
      <c r="G313" s="146">
        <v>0.01</v>
      </c>
      <c r="H313" s="146">
        <v>0.02</v>
      </c>
      <c r="I313" s="146">
        <v>0.01</v>
      </c>
      <c r="J313" s="146">
        <v>0.01</v>
      </c>
      <c r="K313" s="462" t="s">
        <v>92</v>
      </c>
      <c r="L313" s="500" t="s">
        <v>331</v>
      </c>
      <c r="M313" s="396"/>
    </row>
    <row r="314" spans="2:13" s="190" customFormat="1" ht="19.95" customHeight="1">
      <c r="B314" s="505"/>
      <c r="C314" s="481"/>
      <c r="D314" s="473"/>
      <c r="E314" s="363" t="s">
        <v>269</v>
      </c>
      <c r="F314" s="261" t="s">
        <v>1</v>
      </c>
      <c r="G314" s="96">
        <v>0.21</v>
      </c>
      <c r="H314" s="96">
        <v>0.18</v>
      </c>
      <c r="I314" s="96">
        <v>0.15</v>
      </c>
      <c r="J314" s="96">
        <v>0.1</v>
      </c>
      <c r="K314" s="508"/>
      <c r="L314" s="502"/>
      <c r="M314" s="396"/>
    </row>
    <row r="315" spans="2:13" s="190" customFormat="1" ht="19.95" customHeight="1">
      <c r="B315" s="505"/>
      <c r="C315" s="481"/>
      <c r="D315" s="473"/>
      <c r="E315" s="283" t="s">
        <v>306</v>
      </c>
      <c r="F315" s="261" t="s">
        <v>1</v>
      </c>
      <c r="G315" s="96">
        <v>0.09</v>
      </c>
      <c r="H315" s="96">
        <v>7.0000000000000007E-2</v>
      </c>
      <c r="I315" s="96">
        <v>0.08</v>
      </c>
      <c r="J315" s="96">
        <v>7.0000000000000007E-2</v>
      </c>
      <c r="K315" s="508"/>
      <c r="L315" s="502"/>
      <c r="M315" s="396"/>
    </row>
    <row r="316" spans="2:13" s="190" customFormat="1" ht="19.95" customHeight="1">
      <c r="B316" s="505"/>
      <c r="C316" s="481"/>
      <c r="D316" s="473"/>
      <c r="E316" s="283" t="s">
        <v>271</v>
      </c>
      <c r="F316" s="261" t="s">
        <v>1</v>
      </c>
      <c r="G316" s="138">
        <v>2.44</v>
      </c>
      <c r="H316" s="138">
        <v>1.81</v>
      </c>
      <c r="I316" s="138">
        <v>1.36</v>
      </c>
      <c r="J316" s="138">
        <v>1.59</v>
      </c>
      <c r="K316" s="508"/>
      <c r="L316" s="502"/>
      <c r="M316" s="396"/>
    </row>
    <row r="317" spans="2:13" s="190" customFormat="1" ht="19.95" customHeight="1">
      <c r="B317" s="505"/>
      <c r="C317" s="481"/>
      <c r="D317" s="474"/>
      <c r="E317" s="292" t="s">
        <v>272</v>
      </c>
      <c r="F317" s="261" t="s">
        <v>1</v>
      </c>
      <c r="G317" s="140">
        <v>0.99</v>
      </c>
      <c r="H317" s="140">
        <v>1</v>
      </c>
      <c r="I317" s="140">
        <v>0.86</v>
      </c>
      <c r="J317" s="140">
        <v>0.9</v>
      </c>
      <c r="K317" s="508"/>
      <c r="L317" s="502"/>
      <c r="M317" s="396"/>
    </row>
    <row r="318" spans="2:13" s="190" customFormat="1" ht="19.95" customHeight="1" thickBot="1">
      <c r="B318" s="505"/>
      <c r="C318" s="486"/>
      <c r="D318" s="474"/>
      <c r="E318" s="292" t="s">
        <v>273</v>
      </c>
      <c r="F318" s="141" t="s">
        <v>1</v>
      </c>
      <c r="G318" s="142">
        <v>0.04</v>
      </c>
      <c r="H318" s="142">
        <v>0.17</v>
      </c>
      <c r="I318" s="142">
        <v>0.06</v>
      </c>
      <c r="J318" s="142">
        <v>0.14000000000000001</v>
      </c>
      <c r="K318" s="463"/>
      <c r="L318" s="501"/>
      <c r="M318" s="396"/>
    </row>
    <row r="319" spans="2:13" s="190" customFormat="1" ht="25.05" customHeight="1">
      <c r="B319" s="505"/>
      <c r="C319" s="485" t="s">
        <v>342</v>
      </c>
      <c r="D319" s="476" t="s">
        <v>343</v>
      </c>
      <c r="E319" s="282" t="s">
        <v>251</v>
      </c>
      <c r="F319" s="65" t="s">
        <v>229</v>
      </c>
      <c r="G319" s="156">
        <f>G78</f>
        <v>42577</v>
      </c>
      <c r="H319" s="156">
        <f>H78</f>
        <v>43159</v>
      </c>
      <c r="I319" s="120">
        <f>I78</f>
        <v>41958</v>
      </c>
      <c r="J319" s="120">
        <v>41365</v>
      </c>
      <c r="K319" s="507" t="s">
        <v>60</v>
      </c>
      <c r="L319" s="511" t="s">
        <v>332</v>
      </c>
      <c r="M319" s="573"/>
    </row>
    <row r="320" spans="2:13" s="190" customFormat="1" ht="25.05" customHeight="1">
      <c r="B320" s="505"/>
      <c r="C320" s="481"/>
      <c r="D320" s="474"/>
      <c r="E320" s="292" t="s">
        <v>250</v>
      </c>
      <c r="F320" s="139" t="s">
        <v>229</v>
      </c>
      <c r="G320" s="157">
        <f>G76</f>
        <v>44350</v>
      </c>
      <c r="H320" s="157">
        <f>H76</f>
        <v>44641</v>
      </c>
      <c r="I320" s="158">
        <f>I76</f>
        <v>43634</v>
      </c>
      <c r="J320" s="158">
        <v>41920</v>
      </c>
      <c r="K320" s="508"/>
      <c r="L320" s="503"/>
      <c r="M320" s="565"/>
    </row>
    <row r="321" spans="2:13" s="190" customFormat="1" ht="25.05" customHeight="1">
      <c r="B321" s="505"/>
      <c r="C321" s="481"/>
      <c r="D321" s="492" t="s">
        <v>344</v>
      </c>
      <c r="E321" s="289" t="s">
        <v>251</v>
      </c>
      <c r="F321" s="135" t="s">
        <v>229</v>
      </c>
      <c r="G321" s="159">
        <v>1821</v>
      </c>
      <c r="H321" s="159">
        <v>1787</v>
      </c>
      <c r="I321" s="136">
        <v>1842</v>
      </c>
      <c r="J321" s="136">
        <v>1611</v>
      </c>
      <c r="K321" s="508"/>
      <c r="L321" s="500" t="s">
        <v>333</v>
      </c>
      <c r="M321" s="575"/>
    </row>
    <row r="322" spans="2:13" s="190" customFormat="1" ht="25.05" customHeight="1">
      <c r="B322" s="505"/>
      <c r="C322" s="481"/>
      <c r="D322" s="493"/>
      <c r="E322" s="284" t="s">
        <v>250</v>
      </c>
      <c r="F322" s="141" t="s">
        <v>229</v>
      </c>
      <c r="G322" s="157">
        <v>2376</v>
      </c>
      <c r="H322" s="157">
        <v>2905</v>
      </c>
      <c r="I322" s="158">
        <v>2090</v>
      </c>
      <c r="J322" s="158">
        <v>1961</v>
      </c>
      <c r="K322" s="508"/>
      <c r="L322" s="502"/>
      <c r="M322" s="576"/>
    </row>
    <row r="323" spans="2:13" s="190" customFormat="1" ht="25.05" customHeight="1">
      <c r="B323" s="505"/>
      <c r="C323" s="481"/>
      <c r="D323" s="492" t="s">
        <v>345</v>
      </c>
      <c r="E323" s="289" t="s">
        <v>251</v>
      </c>
      <c r="F323" s="261" t="s">
        <v>229</v>
      </c>
      <c r="G323" s="159">
        <v>1741</v>
      </c>
      <c r="H323" s="159">
        <v>1733</v>
      </c>
      <c r="I323" s="136">
        <v>1758</v>
      </c>
      <c r="J323" s="136">
        <v>1549</v>
      </c>
      <c r="K323" s="508"/>
      <c r="L323" s="502"/>
      <c r="M323" s="575"/>
    </row>
    <row r="324" spans="2:13" s="190" customFormat="1" ht="25.05" customHeight="1">
      <c r="B324" s="505"/>
      <c r="C324" s="481"/>
      <c r="D324" s="493"/>
      <c r="E324" s="284" t="s">
        <v>250</v>
      </c>
      <c r="F324" s="141" t="s">
        <v>229</v>
      </c>
      <c r="G324" s="157">
        <v>1284</v>
      </c>
      <c r="H324" s="157">
        <v>1852</v>
      </c>
      <c r="I324" s="158">
        <v>1131</v>
      </c>
      <c r="J324" s="158">
        <v>1070</v>
      </c>
      <c r="K324" s="508"/>
      <c r="L324" s="502"/>
      <c r="M324" s="576"/>
    </row>
    <row r="325" spans="2:13" s="190" customFormat="1" ht="25.05" customHeight="1">
      <c r="B325" s="505"/>
      <c r="C325" s="481"/>
      <c r="D325" s="492" t="s">
        <v>346</v>
      </c>
      <c r="E325" s="289" t="s">
        <v>251</v>
      </c>
      <c r="F325" s="135" t="s">
        <v>229</v>
      </c>
      <c r="G325" s="159">
        <v>80</v>
      </c>
      <c r="H325" s="159">
        <v>54</v>
      </c>
      <c r="I325" s="136">
        <v>84</v>
      </c>
      <c r="J325" s="136">
        <v>62</v>
      </c>
      <c r="K325" s="508"/>
      <c r="L325" s="502"/>
      <c r="M325" s="575"/>
    </row>
    <row r="326" spans="2:13" s="190" customFormat="1" ht="25.05" customHeight="1">
      <c r="B326" s="505"/>
      <c r="C326" s="481"/>
      <c r="D326" s="493"/>
      <c r="E326" s="284" t="s">
        <v>250</v>
      </c>
      <c r="F326" s="141" t="s">
        <v>229</v>
      </c>
      <c r="G326" s="157">
        <v>1092</v>
      </c>
      <c r="H326" s="157">
        <v>1053</v>
      </c>
      <c r="I326" s="158">
        <v>959</v>
      </c>
      <c r="J326" s="158">
        <v>891</v>
      </c>
      <c r="K326" s="508"/>
      <c r="L326" s="502"/>
      <c r="M326" s="576"/>
    </row>
    <row r="327" spans="2:13" s="190" customFormat="1" ht="25.05" customHeight="1">
      <c r="B327" s="505"/>
      <c r="C327" s="481"/>
      <c r="D327" s="492" t="s">
        <v>347</v>
      </c>
      <c r="E327" s="289" t="s">
        <v>251</v>
      </c>
      <c r="F327" s="135" t="s">
        <v>229</v>
      </c>
      <c r="G327" s="159">
        <v>1812</v>
      </c>
      <c r="H327" s="159">
        <v>1813</v>
      </c>
      <c r="I327" s="136">
        <v>1812</v>
      </c>
      <c r="J327" s="136">
        <v>1633</v>
      </c>
      <c r="K327" s="508"/>
      <c r="L327" s="502"/>
      <c r="M327" s="575"/>
    </row>
    <row r="328" spans="2:13" s="190" customFormat="1" ht="25.05" customHeight="1">
      <c r="B328" s="505"/>
      <c r="C328" s="481"/>
      <c r="D328" s="493"/>
      <c r="E328" s="284" t="s">
        <v>250</v>
      </c>
      <c r="F328" s="141" t="s">
        <v>229</v>
      </c>
      <c r="G328" s="157">
        <v>2443</v>
      </c>
      <c r="H328" s="157">
        <v>2944</v>
      </c>
      <c r="I328" s="158">
        <v>2184</v>
      </c>
      <c r="J328" s="158">
        <v>2029</v>
      </c>
      <c r="K328" s="508"/>
      <c r="L328" s="502"/>
      <c r="M328" s="576"/>
    </row>
    <row r="329" spans="2:13" s="190" customFormat="1" ht="25.05" customHeight="1">
      <c r="B329" s="505"/>
      <c r="C329" s="481"/>
      <c r="D329" s="492" t="s">
        <v>348</v>
      </c>
      <c r="E329" s="289" t="s">
        <v>251</v>
      </c>
      <c r="F329" s="135" t="s">
        <v>229</v>
      </c>
      <c r="G329" s="159">
        <v>1795</v>
      </c>
      <c r="H329" s="159">
        <v>1799</v>
      </c>
      <c r="I329" s="136">
        <v>1803</v>
      </c>
      <c r="J329" s="136">
        <v>1629</v>
      </c>
      <c r="K329" s="508"/>
      <c r="L329" s="502"/>
      <c r="M329" s="575"/>
    </row>
    <row r="330" spans="2:13" s="190" customFormat="1" ht="25.05" customHeight="1">
      <c r="B330" s="505"/>
      <c r="C330" s="481"/>
      <c r="D330" s="493"/>
      <c r="E330" s="284" t="s">
        <v>250</v>
      </c>
      <c r="F330" s="141" t="s">
        <v>229</v>
      </c>
      <c r="G330" s="157">
        <v>2433</v>
      </c>
      <c r="H330" s="157">
        <v>2923</v>
      </c>
      <c r="I330" s="158">
        <v>2169</v>
      </c>
      <c r="J330" s="158">
        <v>2007</v>
      </c>
      <c r="K330" s="508"/>
      <c r="L330" s="502"/>
      <c r="M330" s="576"/>
    </row>
    <row r="331" spans="2:13" s="190" customFormat="1" ht="25.05" customHeight="1">
      <c r="B331" s="505"/>
      <c r="C331" s="481"/>
      <c r="D331" s="492" t="s">
        <v>349</v>
      </c>
      <c r="E331" s="289" t="s">
        <v>251</v>
      </c>
      <c r="F331" s="135" t="s">
        <v>229</v>
      </c>
      <c r="G331" s="159">
        <v>17</v>
      </c>
      <c r="H331" s="159">
        <v>14</v>
      </c>
      <c r="I331" s="136">
        <v>9</v>
      </c>
      <c r="J331" s="136">
        <v>4</v>
      </c>
      <c r="K331" s="508"/>
      <c r="L331" s="502"/>
      <c r="M331" s="575"/>
    </row>
    <row r="332" spans="2:13" s="190" customFormat="1" ht="25.05" customHeight="1">
      <c r="B332" s="505"/>
      <c r="C332" s="481"/>
      <c r="D332" s="493"/>
      <c r="E332" s="284" t="s">
        <v>250</v>
      </c>
      <c r="F332" s="141" t="s">
        <v>229</v>
      </c>
      <c r="G332" s="157">
        <v>10</v>
      </c>
      <c r="H332" s="157">
        <v>21</v>
      </c>
      <c r="I332" s="158">
        <v>15</v>
      </c>
      <c r="J332" s="158">
        <v>22</v>
      </c>
      <c r="K332" s="508"/>
      <c r="L332" s="502"/>
      <c r="M332" s="576"/>
    </row>
    <row r="333" spans="2:13" s="190" customFormat="1" ht="25.05" customHeight="1">
      <c r="B333" s="505"/>
      <c r="C333" s="481"/>
      <c r="D333" s="492" t="s">
        <v>350</v>
      </c>
      <c r="E333" s="289" t="s">
        <v>251</v>
      </c>
      <c r="F333" s="135" t="s">
        <v>229</v>
      </c>
      <c r="G333" s="159">
        <v>1821</v>
      </c>
      <c r="H333" s="159">
        <v>1625</v>
      </c>
      <c r="I333" s="136">
        <v>1630</v>
      </c>
      <c r="J333" s="136">
        <v>1636</v>
      </c>
      <c r="K333" s="508"/>
      <c r="L333" s="502"/>
      <c r="M333" s="575"/>
    </row>
    <row r="334" spans="2:13" s="190" customFormat="1" ht="25.05" customHeight="1">
      <c r="B334" s="505"/>
      <c r="C334" s="481"/>
      <c r="D334" s="493"/>
      <c r="E334" s="284" t="s">
        <v>250</v>
      </c>
      <c r="F334" s="141" t="s">
        <v>229</v>
      </c>
      <c r="G334" s="157">
        <v>2118</v>
      </c>
      <c r="H334" s="157">
        <v>2087</v>
      </c>
      <c r="I334" s="158">
        <v>2547</v>
      </c>
      <c r="J334" s="158">
        <v>1880</v>
      </c>
      <c r="K334" s="508"/>
      <c r="L334" s="503"/>
      <c r="M334" s="576"/>
    </row>
    <row r="335" spans="2:13" s="190" customFormat="1" ht="25.05" customHeight="1">
      <c r="B335" s="505"/>
      <c r="C335" s="481"/>
      <c r="D335" s="492" t="s">
        <v>351</v>
      </c>
      <c r="E335" s="289" t="s">
        <v>251</v>
      </c>
      <c r="F335" s="135" t="s">
        <v>1</v>
      </c>
      <c r="G335" s="160">
        <v>99.06</v>
      </c>
      <c r="H335" s="160">
        <v>99.22999999999999</v>
      </c>
      <c r="I335" s="146">
        <v>99.5</v>
      </c>
      <c r="J335" s="146">
        <v>99.76</v>
      </c>
      <c r="K335" s="508"/>
      <c r="L335" s="500" t="s">
        <v>334</v>
      </c>
      <c r="M335" s="575"/>
    </row>
    <row r="336" spans="2:13" s="190" customFormat="1" ht="25.05" customHeight="1">
      <c r="B336" s="505"/>
      <c r="C336" s="481"/>
      <c r="D336" s="493"/>
      <c r="E336" s="284" t="s">
        <v>250</v>
      </c>
      <c r="F336" s="141" t="s">
        <v>1</v>
      </c>
      <c r="G336" s="161">
        <v>99.59</v>
      </c>
      <c r="H336" s="161">
        <v>99.29</v>
      </c>
      <c r="I336" s="142">
        <v>99.31</v>
      </c>
      <c r="J336" s="142">
        <v>98.92</v>
      </c>
      <c r="K336" s="508"/>
      <c r="L336" s="503"/>
      <c r="M336" s="576"/>
    </row>
    <row r="337" spans="2:13" s="190" customFormat="1" ht="25.05" customHeight="1">
      <c r="B337" s="505"/>
      <c r="C337" s="481"/>
      <c r="D337" s="492" t="s">
        <v>352</v>
      </c>
      <c r="E337" s="289" t="s">
        <v>251</v>
      </c>
      <c r="F337" s="135" t="s">
        <v>1</v>
      </c>
      <c r="G337" s="160">
        <v>91.97</v>
      </c>
      <c r="H337" s="160">
        <v>90.53</v>
      </c>
      <c r="I337" s="146">
        <v>90.61</v>
      </c>
      <c r="J337" s="146">
        <v>90.74</v>
      </c>
      <c r="K337" s="508"/>
      <c r="L337" s="500" t="s">
        <v>335</v>
      </c>
      <c r="M337" s="575"/>
    </row>
    <row r="338" spans="2:13" s="190" customFormat="1" ht="25.05" customHeight="1" thickBot="1">
      <c r="B338" s="505"/>
      <c r="C338" s="486"/>
      <c r="D338" s="493"/>
      <c r="E338" s="284" t="s">
        <v>250</v>
      </c>
      <c r="F338" s="141" t="s">
        <v>1</v>
      </c>
      <c r="G338" s="161">
        <v>87.22999999999999</v>
      </c>
      <c r="H338" s="161">
        <v>85.78</v>
      </c>
      <c r="I338" s="142">
        <v>87.14</v>
      </c>
      <c r="J338" s="142">
        <v>86.68</v>
      </c>
      <c r="K338" s="463"/>
      <c r="L338" s="501"/>
      <c r="M338" s="598"/>
    </row>
    <row r="339" spans="2:13" s="190" customFormat="1" ht="49.95" customHeight="1" thickBot="1">
      <c r="B339" s="505"/>
      <c r="C339" s="530" t="s">
        <v>353</v>
      </c>
      <c r="D339" s="531"/>
      <c r="E339" s="119" t="s">
        <v>354</v>
      </c>
      <c r="F339" s="131" t="s">
        <v>1</v>
      </c>
      <c r="G339" s="162">
        <v>4.04</v>
      </c>
      <c r="H339" s="162">
        <v>4.3899999999999997</v>
      </c>
      <c r="I339" s="162">
        <v>4.55</v>
      </c>
      <c r="J339" s="162">
        <v>5.24</v>
      </c>
      <c r="K339" s="119"/>
      <c r="L339" s="335" t="s">
        <v>336</v>
      </c>
      <c r="M339" s="391"/>
    </row>
    <row r="340" spans="2:13" s="190" customFormat="1" ht="19.95" customHeight="1">
      <c r="B340" s="505"/>
      <c r="C340" s="485" t="s">
        <v>373</v>
      </c>
      <c r="D340" s="476" t="s">
        <v>355</v>
      </c>
      <c r="E340" s="367" t="s">
        <v>267</v>
      </c>
      <c r="F340" s="65" t="s">
        <v>229</v>
      </c>
      <c r="G340" s="120">
        <v>30</v>
      </c>
      <c r="H340" s="120">
        <v>51</v>
      </c>
      <c r="I340" s="120">
        <v>33</v>
      </c>
      <c r="J340" s="120">
        <v>52.09</v>
      </c>
      <c r="K340" s="476" t="s">
        <v>16</v>
      </c>
      <c r="L340" s="581" t="s">
        <v>337</v>
      </c>
      <c r="M340" s="606"/>
    </row>
    <row r="341" spans="2:13" s="190" customFormat="1" ht="19.95" customHeight="1">
      <c r="B341" s="505"/>
      <c r="C341" s="481"/>
      <c r="D341" s="473"/>
      <c r="E341" s="363" t="s">
        <v>268</v>
      </c>
      <c r="F341" s="261" t="s">
        <v>229</v>
      </c>
      <c r="G341" s="121">
        <v>84</v>
      </c>
      <c r="H341" s="121">
        <v>81</v>
      </c>
      <c r="I341" s="121">
        <v>46</v>
      </c>
      <c r="J341" s="121">
        <v>63.74</v>
      </c>
      <c r="K341" s="473"/>
      <c r="L341" s="578"/>
      <c r="M341" s="607"/>
    </row>
    <row r="342" spans="2:13" s="190" customFormat="1" ht="19.95" customHeight="1">
      <c r="B342" s="505"/>
      <c r="C342" s="481"/>
      <c r="D342" s="473"/>
      <c r="E342" s="363" t="s">
        <v>269</v>
      </c>
      <c r="F342" s="261" t="s">
        <v>229</v>
      </c>
      <c r="G342" s="121">
        <v>53</v>
      </c>
      <c r="H342" s="121">
        <v>49</v>
      </c>
      <c r="I342" s="121">
        <v>39</v>
      </c>
      <c r="J342" s="121">
        <v>36.94</v>
      </c>
      <c r="K342" s="473"/>
      <c r="L342" s="578"/>
      <c r="M342" s="607"/>
    </row>
    <row r="343" spans="2:13" s="190" customFormat="1" ht="19.95" customHeight="1">
      <c r="B343" s="505"/>
      <c r="C343" s="481"/>
      <c r="D343" s="473"/>
      <c r="E343" s="283" t="s">
        <v>270</v>
      </c>
      <c r="F343" s="261" t="s">
        <v>229</v>
      </c>
      <c r="G343" s="121">
        <v>32</v>
      </c>
      <c r="H343" s="121">
        <v>32</v>
      </c>
      <c r="I343" s="121">
        <v>28</v>
      </c>
      <c r="J343" s="121">
        <v>22.31</v>
      </c>
      <c r="K343" s="473"/>
      <c r="L343" s="578"/>
      <c r="M343" s="607"/>
    </row>
    <row r="344" spans="2:13" s="190" customFormat="1" ht="19.95" customHeight="1">
      <c r="B344" s="505"/>
      <c r="C344" s="481"/>
      <c r="D344" s="473"/>
      <c r="E344" s="283" t="s">
        <v>271</v>
      </c>
      <c r="F344" s="261" t="s">
        <v>229</v>
      </c>
      <c r="G344" s="121">
        <v>51</v>
      </c>
      <c r="H344" s="121">
        <v>49</v>
      </c>
      <c r="I344" s="121">
        <v>38</v>
      </c>
      <c r="J344" s="121">
        <v>33.06</v>
      </c>
      <c r="K344" s="473"/>
      <c r="L344" s="578"/>
      <c r="M344" s="607"/>
    </row>
    <row r="345" spans="2:13" s="190" customFormat="1" ht="19.95" customHeight="1">
      <c r="B345" s="505"/>
      <c r="C345" s="481"/>
      <c r="D345" s="473"/>
      <c r="E345" s="363" t="s">
        <v>272</v>
      </c>
      <c r="F345" s="261" t="s">
        <v>229</v>
      </c>
      <c r="G345" s="121">
        <v>25</v>
      </c>
      <c r="H345" s="121">
        <v>29</v>
      </c>
      <c r="I345" s="121">
        <v>30.31</v>
      </c>
      <c r="J345" s="121">
        <v>22.2</v>
      </c>
      <c r="K345" s="473"/>
      <c r="L345" s="578"/>
      <c r="M345" s="607"/>
    </row>
    <row r="346" spans="2:13" s="190" customFormat="1" ht="19.95" customHeight="1">
      <c r="B346" s="505"/>
      <c r="C346" s="481"/>
      <c r="D346" s="473"/>
      <c r="E346" s="363" t="s">
        <v>273</v>
      </c>
      <c r="F346" s="261" t="s">
        <v>229</v>
      </c>
      <c r="G346" s="121">
        <v>12</v>
      </c>
      <c r="H346" s="121">
        <v>63</v>
      </c>
      <c r="I346" s="121">
        <v>29.04</v>
      </c>
      <c r="J346" s="121">
        <v>32.950000000000003</v>
      </c>
      <c r="K346" s="473"/>
      <c r="L346" s="578"/>
      <c r="M346" s="607"/>
    </row>
    <row r="347" spans="2:13" s="190" customFormat="1" ht="19.95" customHeight="1">
      <c r="B347" s="505"/>
      <c r="C347" s="481"/>
      <c r="D347" s="493"/>
      <c r="E347" s="364" t="s">
        <v>274</v>
      </c>
      <c r="F347" s="141" t="s">
        <v>229</v>
      </c>
      <c r="G347" s="158">
        <v>61</v>
      </c>
      <c r="H347" s="158">
        <v>53</v>
      </c>
      <c r="I347" s="158">
        <v>37.1</v>
      </c>
      <c r="J347" s="158">
        <v>45.33</v>
      </c>
      <c r="K347" s="493"/>
      <c r="L347" s="580"/>
      <c r="M347" s="608"/>
    </row>
    <row r="348" spans="2:13" s="190" customFormat="1" ht="19.95" customHeight="1">
      <c r="B348" s="505"/>
      <c r="C348" s="481"/>
      <c r="D348" s="545" t="s">
        <v>356</v>
      </c>
      <c r="E348" s="362" t="s">
        <v>250</v>
      </c>
      <c r="F348" s="414" t="s">
        <v>229</v>
      </c>
      <c r="G348" s="144">
        <v>38</v>
      </c>
      <c r="H348" s="144">
        <v>43</v>
      </c>
      <c r="I348" s="144">
        <v>35</v>
      </c>
      <c r="J348" s="144">
        <v>30</v>
      </c>
      <c r="K348" s="596" t="s">
        <v>16</v>
      </c>
      <c r="L348" s="600" t="s">
        <v>337</v>
      </c>
      <c r="M348" s="609"/>
    </row>
    <row r="349" spans="2:13" s="190" customFormat="1" ht="19.95" customHeight="1">
      <c r="B349" s="505"/>
      <c r="C349" s="481"/>
      <c r="D349" s="534"/>
      <c r="E349" s="364" t="s">
        <v>251</v>
      </c>
      <c r="F349" s="416" t="s">
        <v>229</v>
      </c>
      <c r="G349" s="158">
        <v>47</v>
      </c>
      <c r="H349" s="158">
        <v>42</v>
      </c>
      <c r="I349" s="158">
        <v>36</v>
      </c>
      <c r="J349" s="158">
        <v>31</v>
      </c>
      <c r="K349" s="493"/>
      <c r="L349" s="580"/>
      <c r="M349" s="608"/>
    </row>
    <row r="350" spans="2:13" s="190" customFormat="1" ht="19.95" customHeight="1">
      <c r="B350" s="505"/>
      <c r="C350" s="481"/>
      <c r="D350" s="532" t="s">
        <v>357</v>
      </c>
      <c r="E350" s="367" t="s">
        <v>276</v>
      </c>
      <c r="F350" s="413" t="s">
        <v>229</v>
      </c>
      <c r="G350" s="136">
        <v>34.54</v>
      </c>
      <c r="H350" s="136">
        <v>39.748346456692637</v>
      </c>
      <c r="I350" s="136">
        <v>37.277095503531072</v>
      </c>
      <c r="J350" s="136">
        <v>33.090000000000003</v>
      </c>
      <c r="K350" s="462" t="s">
        <v>55</v>
      </c>
      <c r="L350" s="500" t="s">
        <v>337</v>
      </c>
      <c r="M350" s="575"/>
    </row>
    <row r="351" spans="2:13" s="190" customFormat="1" ht="19.95" customHeight="1">
      <c r="B351" s="505"/>
      <c r="C351" s="481"/>
      <c r="D351" s="533"/>
      <c r="E351" s="363" t="s">
        <v>277</v>
      </c>
      <c r="F351" s="415" t="s">
        <v>229</v>
      </c>
      <c r="G351" s="121">
        <v>45.97</v>
      </c>
      <c r="H351" s="121">
        <v>46.111077563470509</v>
      </c>
      <c r="I351" s="121">
        <v>36.579757115749729</v>
      </c>
      <c r="J351" s="121">
        <v>30.98</v>
      </c>
      <c r="K351" s="508"/>
      <c r="L351" s="502"/>
      <c r="M351" s="599"/>
    </row>
    <row r="352" spans="2:13" s="190" customFormat="1" ht="19.95" customHeight="1">
      <c r="B352" s="505"/>
      <c r="C352" s="481"/>
      <c r="D352" s="534"/>
      <c r="E352" s="364" t="s">
        <v>278</v>
      </c>
      <c r="F352" s="416" t="s">
        <v>229</v>
      </c>
      <c r="G352" s="158">
        <v>46.96</v>
      </c>
      <c r="H352" s="158">
        <v>28.023011464365897</v>
      </c>
      <c r="I352" s="158">
        <v>21.770279452690048</v>
      </c>
      <c r="J352" s="158">
        <v>20.32</v>
      </c>
      <c r="K352" s="509"/>
      <c r="L352" s="503"/>
      <c r="M352" s="576"/>
    </row>
    <row r="353" spans="2:13" s="190" customFormat="1" ht="19.95" customHeight="1">
      <c r="B353" s="505"/>
      <c r="C353" s="481"/>
      <c r="D353" s="532" t="s">
        <v>358</v>
      </c>
      <c r="E353" s="363" t="s">
        <v>280</v>
      </c>
      <c r="F353" s="413" t="s">
        <v>229</v>
      </c>
      <c r="G353" s="164">
        <v>44.51</v>
      </c>
      <c r="H353" s="164">
        <v>44</v>
      </c>
      <c r="I353" s="136">
        <v>35.7233252754475</v>
      </c>
      <c r="J353" s="136">
        <v>31.27</v>
      </c>
      <c r="K353" s="593" t="s">
        <v>55</v>
      </c>
      <c r="L353" s="500" t="s">
        <v>337</v>
      </c>
      <c r="M353" s="563"/>
    </row>
    <row r="354" spans="2:13" s="190" customFormat="1" ht="19.95" customHeight="1">
      <c r="B354" s="505"/>
      <c r="C354" s="481"/>
      <c r="D354" s="533"/>
      <c r="E354" s="363" t="s">
        <v>281</v>
      </c>
      <c r="F354" s="415" t="s">
        <v>229</v>
      </c>
      <c r="G354" s="165">
        <v>36.11</v>
      </c>
      <c r="H354" s="165">
        <v>38</v>
      </c>
      <c r="I354" s="121">
        <v>34.189315571529299</v>
      </c>
      <c r="J354" s="121">
        <v>28.79</v>
      </c>
      <c r="K354" s="594"/>
      <c r="L354" s="502"/>
      <c r="M354" s="564"/>
    </row>
    <row r="355" spans="2:13" s="190" customFormat="1" ht="19.95" customHeight="1">
      <c r="B355" s="505"/>
      <c r="C355" s="481"/>
      <c r="D355" s="533"/>
      <c r="E355" s="363" t="s">
        <v>282</v>
      </c>
      <c r="F355" s="415" t="s">
        <v>229</v>
      </c>
      <c r="G355" s="121">
        <v>65.05</v>
      </c>
      <c r="H355" s="121">
        <v>49</v>
      </c>
      <c r="I355" s="121">
        <v>44.289896013864826</v>
      </c>
      <c r="J355" s="121">
        <v>35.590000000000003</v>
      </c>
      <c r="K355" s="594"/>
      <c r="L355" s="502"/>
      <c r="M355" s="564"/>
    </row>
    <row r="356" spans="2:13" s="190" customFormat="1" ht="19.95" customHeight="1">
      <c r="B356" s="505"/>
      <c r="C356" s="481"/>
      <c r="D356" s="533"/>
      <c r="E356" s="363" t="s">
        <v>283</v>
      </c>
      <c r="F356" s="415" t="s">
        <v>229</v>
      </c>
      <c r="G356" s="121">
        <v>35.21</v>
      </c>
      <c r="H356" s="121">
        <v>34</v>
      </c>
      <c r="I356" s="121">
        <v>25.419603174603186</v>
      </c>
      <c r="J356" s="121">
        <v>30.33</v>
      </c>
      <c r="K356" s="594"/>
      <c r="L356" s="502"/>
      <c r="M356" s="564"/>
    </row>
    <row r="357" spans="2:13" s="190" customFormat="1" ht="19.95" customHeight="1">
      <c r="B357" s="505"/>
      <c r="C357" s="481"/>
      <c r="D357" s="534"/>
      <c r="E357" s="364" t="s">
        <v>284</v>
      </c>
      <c r="F357" s="416" t="s">
        <v>229</v>
      </c>
      <c r="G357" s="158">
        <v>22.13</v>
      </c>
      <c r="H357" s="158">
        <v>28</v>
      </c>
      <c r="I357" s="158">
        <v>30.768882783882773</v>
      </c>
      <c r="J357" s="158">
        <v>18.38</v>
      </c>
      <c r="K357" s="595"/>
      <c r="L357" s="503"/>
      <c r="M357" s="565"/>
    </row>
    <row r="358" spans="2:13" s="190" customFormat="1" ht="19.95" customHeight="1">
      <c r="B358" s="505"/>
      <c r="C358" s="481"/>
      <c r="D358" s="532" t="s">
        <v>359</v>
      </c>
      <c r="E358" s="367" t="s">
        <v>360</v>
      </c>
      <c r="F358" s="413" t="s">
        <v>229</v>
      </c>
      <c r="G358" s="136">
        <v>83.55</v>
      </c>
      <c r="H358" s="136">
        <v>81.319999999999993</v>
      </c>
      <c r="I358" s="136">
        <v>45.97</v>
      </c>
      <c r="J358" s="136">
        <v>56.1</v>
      </c>
      <c r="K358" s="462" t="s">
        <v>55</v>
      </c>
      <c r="L358" s="500" t="s">
        <v>337</v>
      </c>
      <c r="M358" s="575"/>
    </row>
    <row r="359" spans="2:13" s="190" customFormat="1" ht="19.95" customHeight="1">
      <c r="B359" s="505"/>
      <c r="C359" s="481"/>
      <c r="D359" s="533"/>
      <c r="E359" s="363" t="s">
        <v>361</v>
      </c>
      <c r="F359" s="415" t="s">
        <v>229</v>
      </c>
      <c r="G359" s="121">
        <v>100.52</v>
      </c>
      <c r="H359" s="121">
        <v>66.13</v>
      </c>
      <c r="I359" s="121">
        <v>57.25</v>
      </c>
      <c r="J359" s="121">
        <v>62.21</v>
      </c>
      <c r="K359" s="508"/>
      <c r="L359" s="502"/>
      <c r="M359" s="599"/>
    </row>
    <row r="360" spans="2:13" s="190" customFormat="1" ht="19.95" customHeight="1">
      <c r="B360" s="505"/>
      <c r="C360" s="481"/>
      <c r="D360" s="534"/>
      <c r="E360" s="364" t="s">
        <v>362</v>
      </c>
      <c r="F360" s="416" t="s">
        <v>229</v>
      </c>
      <c r="G360" s="166">
        <v>41.99</v>
      </c>
      <c r="H360" s="166">
        <v>40.94</v>
      </c>
      <c r="I360" s="166">
        <v>33.64</v>
      </c>
      <c r="J360" s="166">
        <v>36.64</v>
      </c>
      <c r="K360" s="509"/>
      <c r="L360" s="503"/>
      <c r="M360" s="576"/>
    </row>
    <row r="361" spans="2:13" s="190" customFormat="1" ht="19.95" customHeight="1">
      <c r="B361" s="505"/>
      <c r="C361" s="481"/>
      <c r="D361" s="484" t="s">
        <v>363</v>
      </c>
      <c r="E361" s="508" t="s">
        <v>364</v>
      </c>
      <c r="F361" s="245" t="s">
        <v>229</v>
      </c>
      <c r="G361" s="136">
        <v>86423</v>
      </c>
      <c r="H361" s="136">
        <v>88779</v>
      </c>
      <c r="I361" s="136">
        <v>86197</v>
      </c>
      <c r="J361" s="136">
        <v>84428</v>
      </c>
      <c r="K361" s="462" t="s">
        <v>67</v>
      </c>
      <c r="L361" s="500" t="s">
        <v>338</v>
      </c>
      <c r="M361" s="575"/>
    </row>
    <row r="362" spans="2:13" s="190" customFormat="1" ht="19.95" customHeight="1">
      <c r="B362" s="505"/>
      <c r="C362" s="481"/>
      <c r="D362" s="484"/>
      <c r="E362" s="509"/>
      <c r="F362" s="141" t="s">
        <v>1</v>
      </c>
      <c r="G362" s="158">
        <v>97.017287831163003</v>
      </c>
      <c r="H362" s="167">
        <v>98.782726736617221</v>
      </c>
      <c r="I362" s="167">
        <v>97.692473337640109</v>
      </c>
      <c r="J362" s="167">
        <v>98.2</v>
      </c>
      <c r="K362" s="508"/>
      <c r="L362" s="502"/>
      <c r="M362" s="599"/>
    </row>
    <row r="363" spans="2:13" s="190" customFormat="1" ht="19.95" customHeight="1">
      <c r="B363" s="505"/>
      <c r="C363" s="481"/>
      <c r="D363" s="484"/>
      <c r="E363" s="462" t="s">
        <v>365</v>
      </c>
      <c r="F363" s="135" t="s">
        <v>229</v>
      </c>
      <c r="G363" s="136">
        <v>83564</v>
      </c>
      <c r="H363" s="136">
        <v>87358</v>
      </c>
      <c r="I363" s="136">
        <v>85775</v>
      </c>
      <c r="J363" s="136">
        <v>84180</v>
      </c>
      <c r="K363" s="508"/>
      <c r="L363" s="502"/>
      <c r="M363" s="599"/>
    </row>
    <row r="364" spans="2:13" s="190" customFormat="1" ht="19.95" customHeight="1">
      <c r="B364" s="505"/>
      <c r="C364" s="481"/>
      <c r="D364" s="484"/>
      <c r="E364" s="509"/>
      <c r="F364" s="141" t="s">
        <v>1</v>
      </c>
      <c r="G364" s="158">
        <v>93.807813201616526</v>
      </c>
      <c r="H364" s="167">
        <v>97.201606711693174</v>
      </c>
      <c r="I364" s="167">
        <v>97.214194235716803</v>
      </c>
      <c r="J364" s="167">
        <v>97.9</v>
      </c>
      <c r="K364" s="508"/>
      <c r="L364" s="502"/>
      <c r="M364" s="599"/>
    </row>
    <row r="365" spans="2:13" s="190" customFormat="1" ht="19.95" customHeight="1">
      <c r="B365" s="505"/>
      <c r="C365" s="481"/>
      <c r="D365" s="484"/>
      <c r="E365" s="462" t="s">
        <v>366</v>
      </c>
      <c r="F365" s="135" t="s">
        <v>229</v>
      </c>
      <c r="G365" s="136">
        <v>84640</v>
      </c>
      <c r="H365" s="136">
        <v>85994</v>
      </c>
      <c r="I365" s="136">
        <v>84873</v>
      </c>
      <c r="J365" s="136">
        <v>84039</v>
      </c>
      <c r="K365" s="508"/>
      <c r="L365" s="502"/>
      <c r="M365" s="599"/>
    </row>
    <row r="366" spans="2:13" s="190" customFormat="1" ht="19.95" customHeight="1">
      <c r="B366" s="505"/>
      <c r="C366" s="481"/>
      <c r="D366" s="484"/>
      <c r="E366" s="509"/>
      <c r="F366" s="141" t="s">
        <v>1</v>
      </c>
      <c r="G366" s="158">
        <v>95.015716210148184</v>
      </c>
      <c r="H366" s="167">
        <v>95.68390951676254</v>
      </c>
      <c r="I366" s="167">
        <v>96.191900989425733</v>
      </c>
      <c r="J366" s="167">
        <v>97.7</v>
      </c>
      <c r="K366" s="508"/>
      <c r="L366" s="502"/>
      <c r="M366" s="599"/>
    </row>
    <row r="367" spans="2:13" s="190" customFormat="1" ht="19.95" customHeight="1">
      <c r="B367" s="505"/>
      <c r="C367" s="481"/>
      <c r="D367" s="484"/>
      <c r="E367" s="462" t="s">
        <v>367</v>
      </c>
      <c r="F367" s="135" t="s">
        <v>229</v>
      </c>
      <c r="G367" s="136">
        <v>84903</v>
      </c>
      <c r="H367" s="136">
        <v>87660</v>
      </c>
      <c r="I367" s="136">
        <v>86033</v>
      </c>
      <c r="J367" s="136">
        <v>84370</v>
      </c>
      <c r="K367" s="508"/>
      <c r="L367" s="502"/>
      <c r="M367" s="599"/>
    </row>
    <row r="368" spans="2:13" s="190" customFormat="1" ht="19.95" customHeight="1">
      <c r="B368" s="505"/>
      <c r="C368" s="481"/>
      <c r="D368" s="484"/>
      <c r="E368" s="509"/>
      <c r="F368" s="141" t="s">
        <v>1</v>
      </c>
      <c r="G368" s="158">
        <v>95.310956443646148</v>
      </c>
      <c r="H368" s="167">
        <v>97.537636442535586</v>
      </c>
      <c r="I368" s="167">
        <v>97.506601838314467</v>
      </c>
      <c r="J368" s="167">
        <v>98.1</v>
      </c>
      <c r="K368" s="508"/>
      <c r="L368" s="502"/>
      <c r="M368" s="599"/>
    </row>
    <row r="369" spans="2:13" s="190" customFormat="1" ht="19.95" customHeight="1">
      <c r="B369" s="505"/>
      <c r="C369" s="481"/>
      <c r="D369" s="484"/>
      <c r="E369" s="462" t="s">
        <v>66</v>
      </c>
      <c r="F369" s="135" t="s">
        <v>229</v>
      </c>
      <c r="G369" s="136">
        <v>20587</v>
      </c>
      <c r="H369" s="136">
        <v>28834</v>
      </c>
      <c r="I369" s="136">
        <v>85805</v>
      </c>
      <c r="J369" s="136">
        <v>84220</v>
      </c>
      <c r="K369" s="508"/>
      <c r="L369" s="502"/>
      <c r="M369" s="599"/>
    </row>
    <row r="370" spans="2:13" s="190" customFormat="1" ht="19.95" customHeight="1">
      <c r="B370" s="505"/>
      <c r="C370" s="481"/>
      <c r="D370" s="484"/>
      <c r="E370" s="509"/>
      <c r="F370" s="141" t="s">
        <v>1</v>
      </c>
      <c r="G370" s="158">
        <v>23.110687022900763</v>
      </c>
      <c r="H370" s="167">
        <v>32.083050526854564</v>
      </c>
      <c r="I370" s="167">
        <v>97.248195119739776</v>
      </c>
      <c r="J370" s="167">
        <v>98</v>
      </c>
      <c r="K370" s="508"/>
      <c r="L370" s="502"/>
      <c r="M370" s="599"/>
    </row>
    <row r="371" spans="2:13" s="190" customFormat="1" ht="19.95" customHeight="1">
      <c r="B371" s="505"/>
      <c r="C371" s="481"/>
      <c r="D371" s="484"/>
      <c r="E371" s="462" t="s">
        <v>368</v>
      </c>
      <c r="F371" s="135" t="s">
        <v>229</v>
      </c>
      <c r="G371" s="136">
        <v>55890</v>
      </c>
      <c r="H371" s="136">
        <v>80820</v>
      </c>
      <c r="I371" s="136">
        <v>86109</v>
      </c>
      <c r="J371" s="136">
        <v>79480</v>
      </c>
      <c r="K371" s="508"/>
      <c r="L371" s="502"/>
      <c r="M371" s="599"/>
    </row>
    <row r="372" spans="2:13" s="190" customFormat="1" ht="19.95" customHeight="1">
      <c r="B372" s="505"/>
      <c r="C372" s="481"/>
      <c r="D372" s="484"/>
      <c r="E372" s="509"/>
      <c r="F372" s="141" t="s">
        <v>1</v>
      </c>
      <c r="G372" s="158">
        <v>62.741356084418499</v>
      </c>
      <c r="H372" s="167">
        <v>89.926896843323362</v>
      </c>
      <c r="I372" s="167">
        <v>97.592737411172692</v>
      </c>
      <c r="J372" s="167">
        <v>92.4</v>
      </c>
      <c r="K372" s="508"/>
      <c r="L372" s="502"/>
      <c r="M372" s="599"/>
    </row>
    <row r="373" spans="2:13" s="190" customFormat="1" ht="19.95" customHeight="1">
      <c r="B373" s="505"/>
      <c r="C373" s="481"/>
      <c r="D373" s="484"/>
      <c r="E373" s="462" t="s">
        <v>369</v>
      </c>
      <c r="F373" s="135" t="s">
        <v>229</v>
      </c>
      <c r="G373" s="136">
        <v>41323</v>
      </c>
      <c r="H373" s="136">
        <v>38962</v>
      </c>
      <c r="I373" s="136">
        <v>41076</v>
      </c>
      <c r="J373" s="136">
        <v>42175</v>
      </c>
      <c r="K373" s="508"/>
      <c r="L373" s="502"/>
      <c r="M373" s="599"/>
    </row>
    <row r="374" spans="2:13" s="190" customFormat="1" ht="19.95" customHeight="1">
      <c r="B374" s="505"/>
      <c r="C374" s="481"/>
      <c r="D374" s="484"/>
      <c r="E374" s="509"/>
      <c r="F374" s="141" t="s">
        <v>1</v>
      </c>
      <c r="G374" s="158">
        <v>46.388639425235745</v>
      </c>
      <c r="H374" s="167">
        <v>43.352286003582833</v>
      </c>
      <c r="I374" s="167">
        <v>46.554010404270514</v>
      </c>
      <c r="J374" s="167">
        <v>49</v>
      </c>
      <c r="K374" s="508"/>
      <c r="L374" s="502"/>
      <c r="M374" s="599"/>
    </row>
    <row r="375" spans="2:13" s="190" customFormat="1" ht="19.95" customHeight="1">
      <c r="B375" s="505"/>
      <c r="C375" s="481"/>
      <c r="D375" s="484"/>
      <c r="E375" s="462" t="s">
        <v>370</v>
      </c>
      <c r="F375" s="135" t="s">
        <v>229</v>
      </c>
      <c r="G375" s="136">
        <v>41871</v>
      </c>
      <c r="H375" s="136">
        <v>64460</v>
      </c>
      <c r="I375" s="136">
        <v>85595</v>
      </c>
      <c r="J375" s="136">
        <v>84043</v>
      </c>
      <c r="K375" s="508"/>
      <c r="L375" s="502"/>
      <c r="M375" s="599"/>
    </row>
    <row r="376" spans="2:13" s="190" customFormat="1" ht="19.95" customHeight="1">
      <c r="B376" s="505"/>
      <c r="C376" s="481"/>
      <c r="D376" s="484"/>
      <c r="E376" s="509"/>
      <c r="F376" s="141" t="s">
        <v>1</v>
      </c>
      <c r="G376" s="158">
        <v>47.003816793893129</v>
      </c>
      <c r="H376" s="167">
        <v>71.7234319539795</v>
      </c>
      <c r="I376" s="167">
        <v>97.010188931578895</v>
      </c>
      <c r="J376" s="167">
        <v>97.8</v>
      </c>
      <c r="K376" s="508"/>
      <c r="L376" s="502"/>
      <c r="M376" s="599"/>
    </row>
    <row r="377" spans="2:13" s="190" customFormat="1" ht="19.95" customHeight="1">
      <c r="B377" s="505"/>
      <c r="C377" s="481"/>
      <c r="D377" s="484"/>
      <c r="E377" s="462" t="s">
        <v>371</v>
      </c>
      <c r="F377" s="135" t="s">
        <v>229</v>
      </c>
      <c r="G377" s="136">
        <v>3733</v>
      </c>
      <c r="H377" s="136">
        <v>8623</v>
      </c>
      <c r="I377" s="136">
        <v>4753</v>
      </c>
      <c r="J377" s="136">
        <v>6089</v>
      </c>
      <c r="K377" s="508"/>
      <c r="L377" s="502"/>
      <c r="M377" s="599"/>
    </row>
    <row r="378" spans="2:13" s="190" customFormat="1" ht="19.95" customHeight="1">
      <c r="B378" s="505"/>
      <c r="C378" s="481"/>
      <c r="D378" s="484"/>
      <c r="E378" s="509"/>
      <c r="F378" s="141" t="s">
        <v>1</v>
      </c>
      <c r="G378" s="158">
        <v>4.1906151773686577</v>
      </c>
      <c r="H378" s="167">
        <v>9.5946502286559916</v>
      </c>
      <c r="I378" s="167">
        <v>5.3868733920415268</v>
      </c>
      <c r="J378" s="167">
        <v>7.1</v>
      </c>
      <c r="K378" s="508"/>
      <c r="L378" s="502"/>
      <c r="M378" s="599"/>
    </row>
    <row r="379" spans="2:13" s="190" customFormat="1" ht="19.95" customHeight="1">
      <c r="B379" s="505"/>
      <c r="C379" s="481"/>
      <c r="D379" s="484"/>
      <c r="E379" s="462" t="s">
        <v>372</v>
      </c>
      <c r="F379" s="135" t="s">
        <v>229</v>
      </c>
      <c r="G379" s="136">
        <v>84384</v>
      </c>
      <c r="H379" s="136">
        <v>87300</v>
      </c>
      <c r="I379" s="136">
        <v>87163</v>
      </c>
      <c r="J379" s="136">
        <v>85339</v>
      </c>
      <c r="K379" s="508"/>
      <c r="L379" s="502"/>
      <c r="M379" s="599"/>
    </row>
    <row r="380" spans="2:13" s="190" customFormat="1" ht="19.95" customHeight="1" thickBot="1">
      <c r="B380" s="505"/>
      <c r="C380" s="486"/>
      <c r="D380" s="461"/>
      <c r="E380" s="463"/>
      <c r="F380" s="262" t="s">
        <v>1</v>
      </c>
      <c r="G380" s="168">
        <v>94.728334081724299</v>
      </c>
      <c r="H380" s="168">
        <v>97.13707120047178</v>
      </c>
      <c r="I380" s="168">
        <v>98.787301803180213</v>
      </c>
      <c r="J380" s="168">
        <v>99.3</v>
      </c>
      <c r="K380" s="463"/>
      <c r="L380" s="501"/>
      <c r="M380" s="598"/>
    </row>
    <row r="381" spans="2:13" s="190" customFormat="1" ht="19.95" customHeight="1">
      <c r="B381" s="505"/>
      <c r="C381" s="483" t="s">
        <v>374</v>
      </c>
      <c r="D381" s="426" t="s">
        <v>375</v>
      </c>
      <c r="E381" s="288" t="s">
        <v>377</v>
      </c>
      <c r="F381" s="169" t="s">
        <v>1</v>
      </c>
      <c r="G381" s="170" t="s">
        <v>46</v>
      </c>
      <c r="H381" s="171">
        <v>88.4</v>
      </c>
      <c r="I381" s="171">
        <v>95</v>
      </c>
      <c r="J381" s="171">
        <v>95</v>
      </c>
      <c r="K381" s="172"/>
      <c r="L381" s="336" t="s">
        <v>339</v>
      </c>
      <c r="M381" s="398"/>
    </row>
    <row r="382" spans="2:13" s="190" customFormat="1" ht="26.55" customHeight="1" thickBot="1">
      <c r="B382" s="505"/>
      <c r="C382" s="461"/>
      <c r="D382" s="290" t="s">
        <v>376</v>
      </c>
      <c r="E382" s="287" t="s">
        <v>377</v>
      </c>
      <c r="F382" s="300" t="s">
        <v>1</v>
      </c>
      <c r="G382" s="173">
        <v>100</v>
      </c>
      <c r="H382" s="174">
        <v>97.2</v>
      </c>
      <c r="I382" s="174">
        <v>94.5</v>
      </c>
      <c r="J382" s="174">
        <v>99</v>
      </c>
      <c r="K382" s="287"/>
      <c r="L382" s="337" t="s">
        <v>340</v>
      </c>
      <c r="M382" s="399"/>
    </row>
    <row r="383" spans="2:13" s="190" customFormat="1" ht="25.05" customHeight="1">
      <c r="B383" s="505"/>
      <c r="C383" s="587" t="s">
        <v>382</v>
      </c>
      <c r="D383" s="588"/>
      <c r="E383" s="282" t="s">
        <v>267</v>
      </c>
      <c r="F383" s="65" t="s">
        <v>378</v>
      </c>
      <c r="G383" s="175">
        <v>0.87</v>
      </c>
      <c r="H383" s="175">
        <v>0.84</v>
      </c>
      <c r="I383" s="175">
        <v>0.76</v>
      </c>
      <c r="J383" s="175">
        <v>0.75</v>
      </c>
      <c r="K383" s="476" t="s">
        <v>15</v>
      </c>
      <c r="L383" s="581" t="s">
        <v>341</v>
      </c>
      <c r="M383" s="606"/>
    </row>
    <row r="384" spans="2:13" s="190" customFormat="1" ht="25.05" customHeight="1">
      <c r="B384" s="505"/>
      <c r="C384" s="589"/>
      <c r="D384" s="590"/>
      <c r="E384" s="283" t="s">
        <v>379</v>
      </c>
      <c r="F384" s="261" t="s">
        <v>378</v>
      </c>
      <c r="G384" s="138">
        <v>0.9</v>
      </c>
      <c r="H384" s="138">
        <v>0.85</v>
      </c>
      <c r="I384" s="138">
        <v>0.74</v>
      </c>
      <c r="J384" s="138">
        <v>0.78</v>
      </c>
      <c r="K384" s="473"/>
      <c r="L384" s="578"/>
      <c r="M384" s="607"/>
    </row>
    <row r="385" spans="2:13" s="190" customFormat="1" ht="25.05" customHeight="1">
      <c r="B385" s="505"/>
      <c r="C385" s="589"/>
      <c r="D385" s="590"/>
      <c r="E385" s="283" t="s">
        <v>268</v>
      </c>
      <c r="F385" s="261" t="s">
        <v>378</v>
      </c>
      <c r="G385" s="138">
        <v>1.03</v>
      </c>
      <c r="H385" s="138">
        <v>1</v>
      </c>
      <c r="I385" s="138">
        <v>0.98603754030540758</v>
      </c>
      <c r="J385" s="138">
        <v>0.97509138398956929</v>
      </c>
      <c r="K385" s="473"/>
      <c r="L385" s="578"/>
      <c r="M385" s="607"/>
    </row>
    <row r="386" spans="2:13" s="190" customFormat="1" ht="25.05" customHeight="1">
      <c r="B386" s="505"/>
      <c r="C386" s="589"/>
      <c r="D386" s="590"/>
      <c r="E386" s="283" t="s">
        <v>380</v>
      </c>
      <c r="F386" s="261" t="s">
        <v>378</v>
      </c>
      <c r="G386" s="138">
        <v>1.04</v>
      </c>
      <c r="H386" s="138">
        <v>1.0900000000000001</v>
      </c>
      <c r="I386" s="138">
        <v>1.04</v>
      </c>
      <c r="J386" s="138">
        <v>0.96</v>
      </c>
      <c r="K386" s="473"/>
      <c r="L386" s="578"/>
      <c r="M386" s="607"/>
    </row>
    <row r="387" spans="2:13" s="190" customFormat="1" ht="25.05" customHeight="1">
      <c r="B387" s="505"/>
      <c r="C387" s="589"/>
      <c r="D387" s="590"/>
      <c r="E387" s="283" t="s">
        <v>269</v>
      </c>
      <c r="F387" s="261" t="s">
        <v>378</v>
      </c>
      <c r="G387" s="138">
        <v>0.9</v>
      </c>
      <c r="H387" s="138">
        <v>0.92</v>
      </c>
      <c r="I387" s="138">
        <v>0.92064552379010312</v>
      </c>
      <c r="J387" s="138">
        <v>0.92291123140011444</v>
      </c>
      <c r="K387" s="473"/>
      <c r="L387" s="578"/>
      <c r="M387" s="607"/>
    </row>
    <row r="388" spans="2:13" s="190" customFormat="1" ht="25.05" customHeight="1">
      <c r="B388" s="505"/>
      <c r="C388" s="589"/>
      <c r="D388" s="590"/>
      <c r="E388" s="283" t="s">
        <v>381</v>
      </c>
      <c r="F388" s="261" t="s">
        <v>378</v>
      </c>
      <c r="G388" s="138">
        <v>0.88</v>
      </c>
      <c r="H388" s="138">
        <v>0.9</v>
      </c>
      <c r="I388" s="138">
        <v>0.9</v>
      </c>
      <c r="J388" s="138">
        <v>0.9</v>
      </c>
      <c r="K388" s="473"/>
      <c r="L388" s="578"/>
      <c r="M388" s="607"/>
    </row>
    <row r="389" spans="2:13" s="190" customFormat="1" ht="25.05" customHeight="1">
      <c r="B389" s="505"/>
      <c r="C389" s="589"/>
      <c r="D389" s="590"/>
      <c r="E389" s="283" t="s">
        <v>306</v>
      </c>
      <c r="F389" s="261" t="s">
        <v>378</v>
      </c>
      <c r="G389" s="138">
        <v>0.93853510214021796</v>
      </c>
      <c r="H389" s="138">
        <v>0.92808976564722501</v>
      </c>
      <c r="I389" s="138">
        <v>0.92411799870853795</v>
      </c>
      <c r="J389" s="138">
        <v>0.9046933763562891</v>
      </c>
      <c r="K389" s="473"/>
      <c r="L389" s="578"/>
      <c r="M389" s="607"/>
    </row>
    <row r="390" spans="2:13" s="190" customFormat="1" ht="25.05" customHeight="1">
      <c r="B390" s="505"/>
      <c r="C390" s="589"/>
      <c r="D390" s="590"/>
      <c r="E390" s="283" t="s">
        <v>271</v>
      </c>
      <c r="F390" s="261" t="s">
        <v>378</v>
      </c>
      <c r="G390" s="138">
        <v>0.88198411114749098</v>
      </c>
      <c r="H390" s="138">
        <v>0.88579020243476414</v>
      </c>
      <c r="I390" s="138">
        <v>0.88560870935091862</v>
      </c>
      <c r="J390" s="138">
        <v>0.8736836878147124</v>
      </c>
      <c r="K390" s="473"/>
      <c r="L390" s="578"/>
      <c r="M390" s="607"/>
    </row>
    <row r="391" spans="2:13" s="190" customFormat="1" ht="25.05" customHeight="1">
      <c r="B391" s="505"/>
      <c r="C391" s="589"/>
      <c r="D391" s="590"/>
      <c r="E391" s="363" t="s">
        <v>272</v>
      </c>
      <c r="F391" s="261" t="s">
        <v>378</v>
      </c>
      <c r="G391" s="138">
        <v>0.96</v>
      </c>
      <c r="H391" s="138">
        <v>0.96</v>
      </c>
      <c r="I391" s="138">
        <v>0.97231319365194246</v>
      </c>
      <c r="J391" s="138">
        <v>0.96658477331577253</v>
      </c>
      <c r="K391" s="473"/>
      <c r="L391" s="578"/>
      <c r="M391" s="607"/>
    </row>
    <row r="392" spans="2:13" s="190" customFormat="1" ht="25.05" customHeight="1">
      <c r="B392" s="505"/>
      <c r="C392" s="589"/>
      <c r="D392" s="590"/>
      <c r="E392" s="363" t="s">
        <v>273</v>
      </c>
      <c r="F392" s="261" t="s">
        <v>378</v>
      </c>
      <c r="G392" s="138">
        <v>1.02</v>
      </c>
      <c r="H392" s="138">
        <v>1.03</v>
      </c>
      <c r="I392" s="138">
        <v>1.0144272812076838</v>
      </c>
      <c r="J392" s="138">
        <v>1.0286599993178505</v>
      </c>
      <c r="K392" s="473"/>
      <c r="L392" s="578"/>
      <c r="M392" s="607"/>
    </row>
    <row r="393" spans="2:13" s="190" customFormat="1" ht="25.05" customHeight="1" thickBot="1">
      <c r="B393" s="505"/>
      <c r="C393" s="591"/>
      <c r="D393" s="592"/>
      <c r="E393" s="371" t="s">
        <v>274</v>
      </c>
      <c r="F393" s="262" t="s">
        <v>378</v>
      </c>
      <c r="G393" s="155">
        <v>0.98</v>
      </c>
      <c r="H393" s="155">
        <v>0.99</v>
      </c>
      <c r="I393" s="155">
        <v>1.0001658435380878</v>
      </c>
      <c r="J393" s="155">
        <v>0.99769721217583518</v>
      </c>
      <c r="K393" s="477"/>
      <c r="L393" s="601"/>
      <c r="M393" s="610"/>
    </row>
    <row r="394" spans="2:13" s="190" customFormat="1" ht="19.95" customHeight="1">
      <c r="B394" s="505"/>
      <c r="C394" s="549" t="s">
        <v>383</v>
      </c>
      <c r="D394" s="544" t="s">
        <v>384</v>
      </c>
      <c r="E394" s="362" t="s">
        <v>250</v>
      </c>
      <c r="F394" s="245" t="s">
        <v>1</v>
      </c>
      <c r="G394" s="137">
        <v>85</v>
      </c>
      <c r="H394" s="137">
        <v>83</v>
      </c>
      <c r="I394" s="137">
        <v>81.099999999999994</v>
      </c>
      <c r="J394" s="137">
        <v>80.900000000000006</v>
      </c>
      <c r="K394" s="603"/>
      <c r="L394" s="511" t="s">
        <v>389</v>
      </c>
      <c r="M394" s="618"/>
    </row>
    <row r="395" spans="2:13" s="190" customFormat="1" ht="19.95" customHeight="1">
      <c r="B395" s="505"/>
      <c r="C395" s="549"/>
      <c r="D395" s="534"/>
      <c r="E395" s="364" t="s">
        <v>251</v>
      </c>
      <c r="F395" s="141" t="s">
        <v>1</v>
      </c>
      <c r="G395" s="142">
        <v>86</v>
      </c>
      <c r="H395" s="142">
        <v>83</v>
      </c>
      <c r="I395" s="142">
        <v>80.5</v>
      </c>
      <c r="J395" s="142">
        <v>81.099999999999994</v>
      </c>
      <c r="K395" s="604"/>
      <c r="L395" s="502"/>
      <c r="M395" s="599"/>
    </row>
    <row r="396" spans="2:13" s="190" customFormat="1" ht="19.95" customHeight="1">
      <c r="B396" s="505"/>
      <c r="C396" s="549"/>
      <c r="D396" s="545" t="s">
        <v>385</v>
      </c>
      <c r="E396" s="285" t="s">
        <v>6</v>
      </c>
      <c r="F396" s="245" t="s">
        <v>1</v>
      </c>
      <c r="G396" s="137">
        <v>89.6</v>
      </c>
      <c r="H396" s="145">
        <v>90.1</v>
      </c>
      <c r="I396" s="96">
        <v>85.1</v>
      </c>
      <c r="J396" s="96">
        <v>86.1</v>
      </c>
      <c r="K396" s="604"/>
      <c r="L396" s="502"/>
      <c r="M396" s="599"/>
    </row>
    <row r="397" spans="2:13" s="190" customFormat="1" ht="19.95" customHeight="1">
      <c r="B397" s="505"/>
      <c r="C397" s="549"/>
      <c r="D397" s="533"/>
      <c r="E397" s="283" t="s">
        <v>7</v>
      </c>
      <c r="F397" s="261" t="s">
        <v>1</v>
      </c>
      <c r="G397" s="138">
        <v>85</v>
      </c>
      <c r="H397" s="96">
        <v>83.6</v>
      </c>
      <c r="I397" s="96">
        <v>80.3</v>
      </c>
      <c r="J397" s="96">
        <v>80.400000000000006</v>
      </c>
      <c r="K397" s="604"/>
      <c r="L397" s="502"/>
      <c r="M397" s="599"/>
    </row>
    <row r="398" spans="2:13" s="190" customFormat="1" ht="19.95" customHeight="1">
      <c r="B398" s="505"/>
      <c r="C398" s="549"/>
      <c r="D398" s="533"/>
      <c r="E398" s="283" t="s">
        <v>8</v>
      </c>
      <c r="F398" s="261" t="s">
        <v>1</v>
      </c>
      <c r="G398" s="138">
        <v>82.1</v>
      </c>
      <c r="H398" s="96">
        <v>80.599999999999994</v>
      </c>
      <c r="I398" s="96">
        <v>77.900000000000006</v>
      </c>
      <c r="J398" s="96">
        <v>79</v>
      </c>
      <c r="K398" s="604"/>
      <c r="L398" s="502"/>
      <c r="M398" s="599"/>
    </row>
    <row r="399" spans="2:13" s="190" customFormat="1" ht="19.95" customHeight="1">
      <c r="B399" s="505"/>
      <c r="C399" s="549"/>
      <c r="D399" s="533"/>
      <c r="E399" s="283" t="s">
        <v>9</v>
      </c>
      <c r="F399" s="261" t="s">
        <v>1</v>
      </c>
      <c r="G399" s="138">
        <v>82.9</v>
      </c>
      <c r="H399" s="96">
        <v>80.5</v>
      </c>
      <c r="I399" s="96">
        <v>78.7</v>
      </c>
      <c r="J399" s="96">
        <v>78.2</v>
      </c>
      <c r="K399" s="604"/>
      <c r="L399" s="502"/>
      <c r="M399" s="599"/>
    </row>
    <row r="400" spans="2:13" s="190" customFormat="1" ht="19.95" customHeight="1">
      <c r="B400" s="505"/>
      <c r="C400" s="549"/>
      <c r="D400" s="533"/>
      <c r="E400" s="283" t="s">
        <v>10</v>
      </c>
      <c r="F400" s="261" t="s">
        <v>1</v>
      </c>
      <c r="G400" s="138">
        <v>87.2</v>
      </c>
      <c r="H400" s="96">
        <v>84.5</v>
      </c>
      <c r="I400" s="96">
        <v>82.1</v>
      </c>
      <c r="J400" s="96">
        <v>82.3</v>
      </c>
      <c r="K400" s="604"/>
      <c r="L400" s="502"/>
      <c r="M400" s="599"/>
    </row>
    <row r="401" spans="2:13" s="190" customFormat="1" ht="19.95" customHeight="1">
      <c r="B401" s="505"/>
      <c r="C401" s="549"/>
      <c r="D401" s="534"/>
      <c r="E401" s="284" t="s">
        <v>11</v>
      </c>
      <c r="F401" s="141" t="s">
        <v>1</v>
      </c>
      <c r="G401" s="142">
        <v>90.4</v>
      </c>
      <c r="H401" s="150">
        <v>89.1</v>
      </c>
      <c r="I401" s="150">
        <v>87.5</v>
      </c>
      <c r="J401" s="150">
        <v>86.9</v>
      </c>
      <c r="K401" s="604"/>
      <c r="L401" s="502"/>
      <c r="M401" s="599"/>
    </row>
    <row r="402" spans="2:13" s="190" customFormat="1" ht="19.95" customHeight="1">
      <c r="B402" s="505"/>
      <c r="C402" s="549"/>
      <c r="D402" s="532" t="s">
        <v>386</v>
      </c>
      <c r="E402" s="367" t="s">
        <v>387</v>
      </c>
      <c r="F402" s="135" t="s">
        <v>1</v>
      </c>
      <c r="G402" s="146">
        <v>87.2</v>
      </c>
      <c r="H402" s="176">
        <v>85.2</v>
      </c>
      <c r="I402" s="176">
        <v>82.9</v>
      </c>
      <c r="J402" s="176">
        <v>82.8</v>
      </c>
      <c r="K402" s="604"/>
      <c r="L402" s="502"/>
      <c r="M402" s="599"/>
    </row>
    <row r="403" spans="2:13" s="190" customFormat="1" ht="19.95" customHeight="1" thickBot="1">
      <c r="B403" s="505"/>
      <c r="C403" s="550"/>
      <c r="D403" s="543"/>
      <c r="E403" s="371" t="s">
        <v>388</v>
      </c>
      <c r="F403" s="262" t="s">
        <v>1</v>
      </c>
      <c r="G403" s="155">
        <v>84.2</v>
      </c>
      <c r="H403" s="97">
        <v>82.3</v>
      </c>
      <c r="I403" s="97">
        <v>79.8</v>
      </c>
      <c r="J403" s="97">
        <v>80.2</v>
      </c>
      <c r="K403" s="605"/>
      <c r="L403" s="501"/>
      <c r="M403" s="598"/>
    </row>
    <row r="404" spans="2:13" s="190" customFormat="1" ht="19.95" customHeight="1">
      <c r="B404" s="505"/>
      <c r="C404" s="485" t="s">
        <v>371</v>
      </c>
      <c r="D404" s="483" t="s">
        <v>391</v>
      </c>
      <c r="E404" s="282" t="s">
        <v>392</v>
      </c>
      <c r="F404" s="65" t="s">
        <v>229</v>
      </c>
      <c r="G404" s="120">
        <v>175</v>
      </c>
      <c r="H404" s="71">
        <v>177</v>
      </c>
      <c r="I404" s="71">
        <v>174</v>
      </c>
      <c r="J404" s="71">
        <v>170.043735</v>
      </c>
      <c r="K404" s="507" t="s">
        <v>69</v>
      </c>
      <c r="L404" s="338"/>
      <c r="M404" s="400"/>
    </row>
    <row r="405" spans="2:13" s="190" customFormat="1" ht="19.95" customHeight="1">
      <c r="B405" s="505"/>
      <c r="C405" s="481"/>
      <c r="D405" s="484"/>
      <c r="E405" s="538" t="s">
        <v>393</v>
      </c>
      <c r="F405" s="261" t="s">
        <v>229</v>
      </c>
      <c r="G405" s="138">
        <v>0</v>
      </c>
      <c r="H405" s="72">
        <v>2</v>
      </c>
      <c r="I405" s="72">
        <v>3</v>
      </c>
      <c r="J405" s="72">
        <v>2</v>
      </c>
      <c r="K405" s="508"/>
      <c r="L405" s="283" t="s">
        <v>399</v>
      </c>
      <c r="M405" s="401"/>
    </row>
    <row r="406" spans="2:13" s="190" customFormat="1" ht="19.95" customHeight="1">
      <c r="B406" s="505"/>
      <c r="C406" s="481"/>
      <c r="D406" s="484"/>
      <c r="E406" s="538"/>
      <c r="F406" s="261" t="s">
        <v>394</v>
      </c>
      <c r="G406" s="138">
        <v>0</v>
      </c>
      <c r="H406" s="96">
        <v>0.01</v>
      </c>
      <c r="I406" s="96">
        <v>0.02</v>
      </c>
      <c r="J406" s="96">
        <v>0.01</v>
      </c>
      <c r="K406" s="508"/>
      <c r="L406" s="283"/>
      <c r="M406" s="401"/>
    </row>
    <row r="407" spans="2:13" s="190" customFormat="1" ht="19.95" customHeight="1">
      <c r="B407" s="505"/>
      <c r="C407" s="481"/>
      <c r="D407" s="484"/>
      <c r="E407" s="538" t="s">
        <v>395</v>
      </c>
      <c r="F407" s="261" t="s">
        <v>229</v>
      </c>
      <c r="G407" s="138">
        <v>0</v>
      </c>
      <c r="H407" s="138">
        <v>0</v>
      </c>
      <c r="I407" s="138">
        <v>0</v>
      </c>
      <c r="J407" s="138">
        <v>0</v>
      </c>
      <c r="K407" s="508"/>
      <c r="L407" s="283"/>
      <c r="M407" s="401"/>
    </row>
    <row r="408" spans="2:13" s="190" customFormat="1" ht="19.95" customHeight="1">
      <c r="B408" s="505"/>
      <c r="C408" s="481"/>
      <c r="D408" s="484"/>
      <c r="E408" s="538"/>
      <c r="F408" s="261" t="s">
        <v>394</v>
      </c>
      <c r="G408" s="138">
        <v>0</v>
      </c>
      <c r="H408" s="138">
        <v>0</v>
      </c>
      <c r="I408" s="138">
        <v>0</v>
      </c>
      <c r="J408" s="138">
        <v>0</v>
      </c>
      <c r="K408" s="508"/>
      <c r="L408" s="283"/>
      <c r="M408" s="401"/>
    </row>
    <row r="409" spans="2:13" s="190" customFormat="1" ht="49.95" customHeight="1">
      <c r="B409" s="505"/>
      <c r="C409" s="481"/>
      <c r="D409" s="484"/>
      <c r="E409" s="538" t="s">
        <v>396</v>
      </c>
      <c r="F409" s="261" t="s">
        <v>229</v>
      </c>
      <c r="G409" s="177">
        <v>125</v>
      </c>
      <c r="H409" s="178">
        <v>192</v>
      </c>
      <c r="I409" s="178">
        <v>161</v>
      </c>
      <c r="J409" s="178">
        <v>220</v>
      </c>
      <c r="K409" s="508"/>
      <c r="L409" s="339" t="s">
        <v>400</v>
      </c>
      <c r="M409" s="401"/>
    </row>
    <row r="410" spans="2:13" s="190" customFormat="1" ht="19.95" customHeight="1">
      <c r="B410" s="505"/>
      <c r="C410" s="481"/>
      <c r="D410" s="484"/>
      <c r="E410" s="538"/>
      <c r="F410" s="261" t="s">
        <v>394</v>
      </c>
      <c r="G410" s="138">
        <v>0.71</v>
      </c>
      <c r="H410" s="96">
        <v>1.08</v>
      </c>
      <c r="I410" s="96">
        <v>0.93</v>
      </c>
      <c r="J410" s="96">
        <v>1.29</v>
      </c>
      <c r="K410" s="508"/>
      <c r="L410" s="339"/>
      <c r="M410" s="401"/>
    </row>
    <row r="411" spans="2:13" s="190" customFormat="1" ht="19.95" customHeight="1">
      <c r="B411" s="505"/>
      <c r="C411" s="481"/>
      <c r="D411" s="510"/>
      <c r="E411" s="292" t="s">
        <v>397</v>
      </c>
      <c r="F411" s="139" t="s">
        <v>229</v>
      </c>
      <c r="G411" s="621" t="s">
        <v>398</v>
      </c>
      <c r="H411" s="622"/>
      <c r="I411" s="622"/>
      <c r="J411" s="623"/>
      <c r="K411" s="509"/>
      <c r="L411" s="340"/>
      <c r="M411" s="402"/>
    </row>
    <row r="412" spans="2:13" s="190" customFormat="1" ht="19.95" customHeight="1">
      <c r="B412" s="505"/>
      <c r="C412" s="481"/>
      <c r="D412" s="484" t="s">
        <v>401</v>
      </c>
      <c r="E412" s="427" t="s">
        <v>402</v>
      </c>
      <c r="F412" s="428" t="s">
        <v>229</v>
      </c>
      <c r="G412" s="179">
        <v>0</v>
      </c>
      <c r="H412" s="179">
        <v>0</v>
      </c>
      <c r="I412" s="179">
        <v>0</v>
      </c>
      <c r="J412" s="179">
        <v>0</v>
      </c>
      <c r="K412" s="462" t="s">
        <v>70</v>
      </c>
      <c r="L412" s="341"/>
      <c r="M412" s="403"/>
    </row>
    <row r="413" spans="2:13" s="190" customFormat="1" ht="49.95" customHeight="1">
      <c r="B413" s="505"/>
      <c r="C413" s="481"/>
      <c r="D413" s="484"/>
      <c r="E413" s="429" t="s">
        <v>403</v>
      </c>
      <c r="F413" s="430" t="s">
        <v>229</v>
      </c>
      <c r="G413" s="121">
        <v>12</v>
      </c>
      <c r="H413" s="72">
        <v>16</v>
      </c>
      <c r="I413" s="72">
        <v>13</v>
      </c>
      <c r="J413" s="72">
        <v>14</v>
      </c>
      <c r="K413" s="508"/>
      <c r="L413" s="180" t="s">
        <v>407</v>
      </c>
      <c r="M413" s="404"/>
    </row>
    <row r="414" spans="2:13" s="190" customFormat="1" ht="19.95" customHeight="1" thickBot="1">
      <c r="B414" s="506"/>
      <c r="C414" s="486"/>
      <c r="D414" s="461"/>
      <c r="E414" s="431" t="s">
        <v>404</v>
      </c>
      <c r="F414" s="432" t="s">
        <v>405</v>
      </c>
      <c r="G414" s="181" t="s">
        <v>63</v>
      </c>
      <c r="H414" s="181" t="s">
        <v>64</v>
      </c>
      <c r="I414" s="181" t="s">
        <v>62</v>
      </c>
      <c r="J414" s="181" t="s">
        <v>62</v>
      </c>
      <c r="K414" s="463"/>
      <c r="L414" s="342" t="s">
        <v>406</v>
      </c>
      <c r="M414" s="405"/>
    </row>
    <row r="415" spans="2:13" s="190" customFormat="1" ht="19.95" customHeight="1">
      <c r="B415" s="546" t="s">
        <v>409</v>
      </c>
      <c r="C415" s="611" t="s">
        <v>408</v>
      </c>
      <c r="D415" s="612"/>
      <c r="E415" s="266" t="s">
        <v>410</v>
      </c>
      <c r="F415" s="104" t="s">
        <v>411</v>
      </c>
      <c r="G415" s="267">
        <f>G416+G419</f>
        <v>158579.95543</v>
      </c>
      <c r="H415" s="267">
        <f>H416+H419</f>
        <v>187446</v>
      </c>
      <c r="I415" s="267">
        <f>I416+I419</f>
        <v>236809.70977000002</v>
      </c>
      <c r="J415" s="267">
        <f>J416+J419</f>
        <v>223506.59875</v>
      </c>
      <c r="K415" s="616" t="s">
        <v>18</v>
      </c>
      <c r="L415" s="343"/>
      <c r="M415" s="392" t="s">
        <v>424</v>
      </c>
    </row>
    <row r="416" spans="2:13" s="190" customFormat="1" ht="19.95" customHeight="1">
      <c r="B416" s="547"/>
      <c r="C416" s="594"/>
      <c r="D416" s="613"/>
      <c r="E416" s="183" t="s">
        <v>412</v>
      </c>
      <c r="F416" s="184" t="s">
        <v>411</v>
      </c>
      <c r="G416" s="185">
        <f>G417+G418</f>
        <v>67220.249519999998</v>
      </c>
      <c r="H416" s="185">
        <f>H417+H418</f>
        <v>90400</v>
      </c>
      <c r="I416" s="185">
        <f>I417+I418</f>
        <v>112590.93528999999</v>
      </c>
      <c r="J416" s="185">
        <f>J417+J418</f>
        <v>107974.29124999999</v>
      </c>
      <c r="K416" s="552"/>
      <c r="L416" s="186" t="s">
        <v>421</v>
      </c>
      <c r="M416" s="406"/>
    </row>
    <row r="417" spans="2:13" s="190" customFormat="1" ht="19.95" customHeight="1">
      <c r="B417" s="547"/>
      <c r="C417" s="594"/>
      <c r="D417" s="613"/>
      <c r="E417" s="61" t="s">
        <v>413</v>
      </c>
      <c r="F417" s="43" t="s">
        <v>411</v>
      </c>
      <c r="G417" s="72">
        <v>27171.587680000001</v>
      </c>
      <c r="H417" s="72">
        <v>13254</v>
      </c>
      <c r="I417" s="72">
        <v>21054</v>
      </c>
      <c r="J417" s="72">
        <v>7929.63519</v>
      </c>
      <c r="K417" s="552"/>
      <c r="L417" s="186"/>
      <c r="M417" s="406"/>
    </row>
    <row r="418" spans="2:13" s="190" customFormat="1" ht="19.95" customHeight="1">
      <c r="B418" s="547"/>
      <c r="C418" s="594"/>
      <c r="D418" s="613"/>
      <c r="E418" s="61" t="s">
        <v>414</v>
      </c>
      <c r="F418" s="43" t="s">
        <v>411</v>
      </c>
      <c r="G418" s="72">
        <v>40048.661840000001</v>
      </c>
      <c r="H418" s="72">
        <v>77146</v>
      </c>
      <c r="I418" s="72">
        <v>91536.935289999994</v>
      </c>
      <c r="J418" s="72">
        <v>100044.65605999999</v>
      </c>
      <c r="K418" s="552"/>
      <c r="L418" s="186"/>
      <c r="M418" s="406"/>
    </row>
    <row r="419" spans="2:13" s="190" customFormat="1" ht="19.95" customHeight="1">
      <c r="B419" s="547"/>
      <c r="C419" s="594"/>
      <c r="D419" s="613"/>
      <c r="E419" s="183" t="s">
        <v>415</v>
      </c>
      <c r="F419" s="184" t="s">
        <v>411</v>
      </c>
      <c r="G419" s="185">
        <f>SUM(G420:G424)</f>
        <v>91359.705910000004</v>
      </c>
      <c r="H419" s="185">
        <f>SUM(H420:H424)</f>
        <v>97046</v>
      </c>
      <c r="I419" s="185">
        <f>SUM(I420:I424)</f>
        <v>124218.77448000001</v>
      </c>
      <c r="J419" s="185">
        <f>SUM(J420:J424)</f>
        <v>115532.30750000001</v>
      </c>
      <c r="K419" s="552"/>
      <c r="L419" s="186" t="s">
        <v>422</v>
      </c>
      <c r="M419" s="406"/>
    </row>
    <row r="420" spans="2:13" s="190" customFormat="1" ht="19.95" customHeight="1">
      <c r="B420" s="547"/>
      <c r="C420" s="594"/>
      <c r="D420" s="613"/>
      <c r="E420" s="61" t="s">
        <v>416</v>
      </c>
      <c r="F420" s="43" t="s">
        <v>411</v>
      </c>
      <c r="G420" s="72">
        <v>49184.548859999995</v>
      </c>
      <c r="H420" s="72">
        <v>56087</v>
      </c>
      <c r="I420" s="72">
        <v>78017.710699999996</v>
      </c>
      <c r="J420" s="72">
        <v>53510.670579999998</v>
      </c>
      <c r="K420" s="552"/>
      <c r="L420" s="186"/>
      <c r="M420" s="406"/>
    </row>
    <row r="421" spans="2:13" s="190" customFormat="1" ht="19.95" customHeight="1">
      <c r="B421" s="547"/>
      <c r="C421" s="594"/>
      <c r="D421" s="613"/>
      <c r="E421" s="61" t="s">
        <v>417</v>
      </c>
      <c r="F421" s="43" t="s">
        <v>411</v>
      </c>
      <c r="G421" s="72">
        <v>5226.7259999999997</v>
      </c>
      <c r="H421" s="72">
        <v>1915</v>
      </c>
      <c r="I421" s="72">
        <v>3860</v>
      </c>
      <c r="J421" s="72">
        <v>9638.2982699999993</v>
      </c>
      <c r="K421" s="552"/>
      <c r="L421" s="186"/>
      <c r="M421" s="406"/>
    </row>
    <row r="422" spans="2:13" s="190" customFormat="1" ht="19.95" customHeight="1">
      <c r="B422" s="547"/>
      <c r="C422" s="594"/>
      <c r="D422" s="613"/>
      <c r="E422" s="61" t="s">
        <v>418</v>
      </c>
      <c r="F422" s="43" t="s">
        <v>411</v>
      </c>
      <c r="G422" s="72">
        <v>13980.064</v>
      </c>
      <c r="H422" s="72">
        <v>19665</v>
      </c>
      <c r="I422" s="72">
        <v>16186.953510000001</v>
      </c>
      <c r="J422" s="72">
        <v>15942</v>
      </c>
      <c r="K422" s="552"/>
      <c r="L422" s="186"/>
      <c r="M422" s="406"/>
    </row>
    <row r="423" spans="2:13" s="190" customFormat="1" ht="19.95" customHeight="1">
      <c r="B423" s="547"/>
      <c r="C423" s="594"/>
      <c r="D423" s="613"/>
      <c r="E423" s="61" t="s">
        <v>419</v>
      </c>
      <c r="F423" s="43" t="s">
        <v>411</v>
      </c>
      <c r="G423" s="72">
        <v>8990.0920399999995</v>
      </c>
      <c r="H423" s="72">
        <v>0</v>
      </c>
      <c r="I423" s="72">
        <v>9967.3856699999997</v>
      </c>
      <c r="J423" s="72">
        <v>20273.595650000003</v>
      </c>
      <c r="K423" s="552"/>
      <c r="L423" s="186"/>
      <c r="M423" s="406"/>
    </row>
    <row r="424" spans="2:13" s="190" customFormat="1" ht="19.95" customHeight="1" thickBot="1">
      <c r="B424" s="547"/>
      <c r="C424" s="614"/>
      <c r="D424" s="615"/>
      <c r="E424" s="58" t="s">
        <v>420</v>
      </c>
      <c r="F424" s="59" t="s">
        <v>411</v>
      </c>
      <c r="G424" s="153">
        <v>13978.275009999999</v>
      </c>
      <c r="H424" s="153">
        <v>19379</v>
      </c>
      <c r="I424" s="153">
        <v>16186.7246</v>
      </c>
      <c r="J424" s="153">
        <v>16167.743</v>
      </c>
      <c r="K424" s="617"/>
      <c r="L424" s="268"/>
      <c r="M424" s="407"/>
    </row>
    <row r="425" spans="2:13" s="190" customFormat="1" ht="30" customHeight="1" thickBot="1">
      <c r="B425" s="547"/>
      <c r="C425" s="614" t="s">
        <v>49</v>
      </c>
      <c r="D425" s="615"/>
      <c r="E425" s="84" t="s">
        <v>49</v>
      </c>
      <c r="F425" s="75" t="s">
        <v>411</v>
      </c>
      <c r="G425" s="76">
        <v>715000</v>
      </c>
      <c r="H425" s="76">
        <v>794686</v>
      </c>
      <c r="I425" s="76">
        <v>894484</v>
      </c>
      <c r="J425" s="76">
        <v>1264905</v>
      </c>
      <c r="K425" s="302" t="s">
        <v>18</v>
      </c>
      <c r="L425" s="268" t="s">
        <v>423</v>
      </c>
      <c r="M425" s="407"/>
    </row>
    <row r="426" spans="2:13" s="190" customFormat="1" ht="30" customHeight="1">
      <c r="B426" s="547"/>
      <c r="C426" s="587" t="s">
        <v>425</v>
      </c>
      <c r="D426" s="588"/>
      <c r="E426" s="433" t="s">
        <v>426</v>
      </c>
      <c r="F426" s="65" t="s">
        <v>229</v>
      </c>
      <c r="G426" s="71">
        <v>215</v>
      </c>
      <c r="H426" s="71">
        <v>202</v>
      </c>
      <c r="I426" s="71">
        <v>235</v>
      </c>
      <c r="J426" s="71">
        <v>202</v>
      </c>
      <c r="K426" s="619" t="s">
        <v>18</v>
      </c>
      <c r="L426" s="344" t="s">
        <v>708</v>
      </c>
      <c r="M426" s="586"/>
    </row>
    <row r="427" spans="2:13" s="190" customFormat="1" ht="30" customHeight="1">
      <c r="B427" s="547"/>
      <c r="C427" s="589"/>
      <c r="D427" s="590"/>
      <c r="E427" s="363" t="s">
        <v>427</v>
      </c>
      <c r="F427" s="261" t="s">
        <v>229</v>
      </c>
      <c r="G427" s="72">
        <v>38388</v>
      </c>
      <c r="H427" s="72">
        <v>16656</v>
      </c>
      <c r="I427" s="72">
        <v>12437</v>
      </c>
      <c r="J427" s="72">
        <v>6988</v>
      </c>
      <c r="K427" s="538"/>
      <c r="L427" s="345" t="s">
        <v>709</v>
      </c>
      <c r="M427" s="583"/>
    </row>
    <row r="428" spans="2:13" s="190" customFormat="1" ht="30" customHeight="1">
      <c r="B428" s="547"/>
      <c r="C428" s="589"/>
      <c r="D428" s="590"/>
      <c r="E428" s="363" t="s">
        <v>428</v>
      </c>
      <c r="F428" s="261" t="s">
        <v>229</v>
      </c>
      <c r="G428" s="72">
        <v>57100</v>
      </c>
      <c r="H428" s="72">
        <v>42918</v>
      </c>
      <c r="I428" s="72">
        <v>50357</v>
      </c>
      <c r="J428" s="72">
        <v>27587</v>
      </c>
      <c r="K428" s="538"/>
      <c r="L428" s="345" t="s">
        <v>710</v>
      </c>
      <c r="M428" s="583"/>
    </row>
    <row r="429" spans="2:13" s="190" customFormat="1" ht="30" customHeight="1" thickBot="1">
      <c r="B429" s="548"/>
      <c r="C429" s="591"/>
      <c r="D429" s="592"/>
      <c r="E429" s="371" t="s">
        <v>429</v>
      </c>
      <c r="F429" s="262" t="s">
        <v>229</v>
      </c>
      <c r="G429" s="153">
        <v>200686</v>
      </c>
      <c r="H429" s="153">
        <v>151251</v>
      </c>
      <c r="I429" s="153">
        <v>89177</v>
      </c>
      <c r="J429" s="153">
        <v>109715</v>
      </c>
      <c r="K429" s="620"/>
      <c r="L429" s="346" t="s">
        <v>711</v>
      </c>
      <c r="M429" s="597"/>
    </row>
    <row r="430" spans="2:13" s="2" customFormat="1">
      <c r="B430" s="187"/>
      <c r="C430" s="187"/>
      <c r="D430" s="187"/>
      <c r="E430" s="188"/>
      <c r="F430" s="189"/>
      <c r="G430" s="189"/>
      <c r="H430" s="189"/>
      <c r="I430" s="190"/>
      <c r="J430" s="190"/>
      <c r="K430" s="191"/>
      <c r="L430" s="347"/>
      <c r="M430" s="408"/>
    </row>
    <row r="431" spans="2:13" s="2" customFormat="1">
      <c r="B431" s="349" t="s">
        <v>430</v>
      </c>
      <c r="C431" s="187"/>
      <c r="D431" s="187"/>
      <c r="E431" s="188"/>
      <c r="F431" s="189"/>
      <c r="G431" s="189"/>
      <c r="H431" s="189"/>
      <c r="I431" s="190"/>
      <c r="J431" s="190"/>
      <c r="K431" s="191"/>
      <c r="L431" s="347"/>
      <c r="M431" s="408"/>
    </row>
    <row r="432" spans="2:13" s="2" customFormat="1">
      <c r="B432" s="349" t="s">
        <v>431</v>
      </c>
      <c r="C432" s="187"/>
      <c r="D432" s="187"/>
      <c r="E432" s="188"/>
      <c r="F432" s="189"/>
      <c r="G432" s="189"/>
      <c r="H432" s="189"/>
      <c r="I432" s="190"/>
      <c r="J432" s="190"/>
      <c r="K432" s="191"/>
      <c r="L432" s="347"/>
      <c r="M432" s="408"/>
    </row>
    <row r="433" spans="2:13" s="2" customFormat="1">
      <c r="B433" s="349" t="s">
        <v>433</v>
      </c>
      <c r="C433" s="187"/>
      <c r="D433" s="187"/>
      <c r="E433" s="188"/>
      <c r="F433" s="189"/>
      <c r="G433" s="189"/>
      <c r="H433" s="189"/>
      <c r="I433" s="190"/>
      <c r="J433" s="190"/>
      <c r="K433" s="191"/>
      <c r="L433" s="347"/>
      <c r="M433" s="408"/>
    </row>
    <row r="434" spans="2:13" s="2" customFormat="1">
      <c r="B434" s="350" t="s">
        <v>432</v>
      </c>
      <c r="C434" s="187"/>
      <c r="D434" s="187"/>
      <c r="E434" s="189"/>
      <c r="F434" s="189"/>
      <c r="G434" s="189"/>
      <c r="H434" s="189"/>
      <c r="I434" s="190"/>
      <c r="J434" s="190"/>
      <c r="K434" s="191"/>
      <c r="L434" s="347"/>
      <c r="M434" s="408"/>
    </row>
  </sheetData>
  <mergeCells count="372">
    <mergeCell ref="C415:D424"/>
    <mergeCell ref="C425:D425"/>
    <mergeCell ref="K415:K424"/>
    <mergeCell ref="L394:L403"/>
    <mergeCell ref="M394:M403"/>
    <mergeCell ref="K426:K429"/>
    <mergeCell ref="E407:E408"/>
    <mergeCell ref="E409:E410"/>
    <mergeCell ref="G411:J411"/>
    <mergeCell ref="C404:C414"/>
    <mergeCell ref="D404:D411"/>
    <mergeCell ref="D412:D414"/>
    <mergeCell ref="D396:D401"/>
    <mergeCell ref="D402:D403"/>
    <mergeCell ref="D394:D395"/>
    <mergeCell ref="C426:D429"/>
    <mergeCell ref="E405:E406"/>
    <mergeCell ref="M353:M357"/>
    <mergeCell ref="L353:L357"/>
    <mergeCell ref="L358:L360"/>
    <mergeCell ref="M358:M360"/>
    <mergeCell ref="L350:L352"/>
    <mergeCell ref="M350:M352"/>
    <mergeCell ref="M340:M347"/>
    <mergeCell ref="M348:M349"/>
    <mergeCell ref="M383:M393"/>
    <mergeCell ref="M10:M21"/>
    <mergeCell ref="K394:K403"/>
    <mergeCell ref="K227:K229"/>
    <mergeCell ref="K230:K235"/>
    <mergeCell ref="C220:C235"/>
    <mergeCell ref="D230:D235"/>
    <mergeCell ref="D227:D229"/>
    <mergeCell ref="D222:D226"/>
    <mergeCell ref="D220:D221"/>
    <mergeCell ref="K220:K221"/>
    <mergeCell ref="K222:K226"/>
    <mergeCell ref="K278:K279"/>
    <mergeCell ref="K280:K281"/>
    <mergeCell ref="D299:D301"/>
    <mergeCell ref="K299:K301"/>
    <mergeCell ref="D313:D318"/>
    <mergeCell ref="K313:K318"/>
    <mergeCell ref="M284:M285"/>
    <mergeCell ref="K284:K285"/>
    <mergeCell ref="K282:K283"/>
    <mergeCell ref="K291:K295"/>
    <mergeCell ref="K286:K290"/>
    <mergeCell ref="K296:K298"/>
    <mergeCell ref="K302:K306"/>
    <mergeCell ref="M319:M320"/>
    <mergeCell ref="M321:M322"/>
    <mergeCell ref="E276:E277"/>
    <mergeCell ref="K404:K411"/>
    <mergeCell ref="K412:K414"/>
    <mergeCell ref="M426:M429"/>
    <mergeCell ref="M337:M338"/>
    <mergeCell ref="M361:M380"/>
    <mergeCell ref="D282:D283"/>
    <mergeCell ref="D286:D290"/>
    <mergeCell ref="D284:D285"/>
    <mergeCell ref="D302:D306"/>
    <mergeCell ref="D296:D298"/>
    <mergeCell ref="M331:M332"/>
    <mergeCell ref="M333:M334"/>
    <mergeCell ref="M335:M336"/>
    <mergeCell ref="M323:M324"/>
    <mergeCell ref="M325:M326"/>
    <mergeCell ref="M327:M328"/>
    <mergeCell ref="L340:L347"/>
    <mergeCell ref="L348:L349"/>
    <mergeCell ref="L383:L393"/>
    <mergeCell ref="L361:L380"/>
    <mergeCell ref="L335:L336"/>
    <mergeCell ref="C383:D393"/>
    <mergeCell ref="K350:K352"/>
    <mergeCell ref="K353:K357"/>
    <mergeCell ref="K358:K360"/>
    <mergeCell ref="D331:D332"/>
    <mergeCell ref="D333:D334"/>
    <mergeCell ref="D335:D336"/>
    <mergeCell ref="C381:C382"/>
    <mergeCell ref="K348:K349"/>
    <mergeCell ref="K340:K347"/>
    <mergeCell ref="K383:K393"/>
    <mergeCell ref="K361:K380"/>
    <mergeCell ref="K319:K338"/>
    <mergeCell ref="D323:D324"/>
    <mergeCell ref="D321:D322"/>
    <mergeCell ref="D319:D320"/>
    <mergeCell ref="D325:D326"/>
    <mergeCell ref="D361:D380"/>
    <mergeCell ref="E365:E366"/>
    <mergeCell ref="E363:E364"/>
    <mergeCell ref="E361:E362"/>
    <mergeCell ref="D327:D328"/>
    <mergeCell ref="D329:D330"/>
    <mergeCell ref="C319:C338"/>
    <mergeCell ref="M192:M201"/>
    <mergeCell ref="M202:M207"/>
    <mergeCell ref="M286:M290"/>
    <mergeCell ref="M291:M295"/>
    <mergeCell ref="M296:M298"/>
    <mergeCell ref="M302:M306"/>
    <mergeCell ref="M307:M312"/>
    <mergeCell ref="M236:M239"/>
    <mergeCell ref="M240:M249"/>
    <mergeCell ref="M250:M259"/>
    <mergeCell ref="M260:M265"/>
    <mergeCell ref="M266:M277"/>
    <mergeCell ref="M278:M281"/>
    <mergeCell ref="M282:M283"/>
    <mergeCell ref="M208:M219"/>
    <mergeCell ref="M161:M168"/>
    <mergeCell ref="M169:M170"/>
    <mergeCell ref="M171:M175"/>
    <mergeCell ref="M176:M177"/>
    <mergeCell ref="L171:L175"/>
    <mergeCell ref="L169:L170"/>
    <mergeCell ref="L161:L168"/>
    <mergeCell ref="M329:M330"/>
    <mergeCell ref="L178:L181"/>
    <mergeCell ref="L182:L191"/>
    <mergeCell ref="L250:L259"/>
    <mergeCell ref="L307:L312"/>
    <mergeCell ref="L260:L265"/>
    <mergeCell ref="L266:L277"/>
    <mergeCell ref="L278:L281"/>
    <mergeCell ref="L282:L283"/>
    <mergeCell ref="L284:L285"/>
    <mergeCell ref="L286:L290"/>
    <mergeCell ref="L291:L295"/>
    <mergeCell ref="L296:L298"/>
    <mergeCell ref="L302:L306"/>
    <mergeCell ref="L319:L320"/>
    <mergeCell ref="M178:M181"/>
    <mergeCell ref="M182:M191"/>
    <mergeCell ref="K107:K114"/>
    <mergeCell ref="K104:K106"/>
    <mergeCell ref="E180:E181"/>
    <mergeCell ref="E74:E75"/>
    <mergeCell ref="M26:M35"/>
    <mergeCell ref="M36:M45"/>
    <mergeCell ref="M46:M55"/>
    <mergeCell ref="M56:M65"/>
    <mergeCell ref="M66:M75"/>
    <mergeCell ref="M76:M79"/>
    <mergeCell ref="M80:M83"/>
    <mergeCell ref="M84:M87"/>
    <mergeCell ref="M88:M91"/>
    <mergeCell ref="M92:M95"/>
    <mergeCell ref="M96:M103"/>
    <mergeCell ref="M104:M106"/>
    <mergeCell ref="M107:M114"/>
    <mergeCell ref="M115:M122"/>
    <mergeCell ref="M123:M130"/>
    <mergeCell ref="M131:M135"/>
    <mergeCell ref="M136:M143"/>
    <mergeCell ref="M144:M151"/>
    <mergeCell ref="M152:M159"/>
    <mergeCell ref="K144:K151"/>
    <mergeCell ref="K152:K159"/>
    <mergeCell ref="K169:K170"/>
    <mergeCell ref="K171:K175"/>
    <mergeCell ref="E178:E179"/>
    <mergeCell ref="C176:D177"/>
    <mergeCell ref="K123:K130"/>
    <mergeCell ref="K161:K168"/>
    <mergeCell ref="K176:K177"/>
    <mergeCell ref="K178:K181"/>
    <mergeCell ref="K131:K135"/>
    <mergeCell ref="K136:K143"/>
    <mergeCell ref="K88:K91"/>
    <mergeCell ref="E90:E91"/>
    <mergeCell ref="E26:E27"/>
    <mergeCell ref="E28:E29"/>
    <mergeCell ref="D80:D83"/>
    <mergeCell ref="E80:E81"/>
    <mergeCell ref="E82:E83"/>
    <mergeCell ref="K80:K83"/>
    <mergeCell ref="E64:E65"/>
    <mergeCell ref="L10:L21"/>
    <mergeCell ref="L115:L122"/>
    <mergeCell ref="L92:L95"/>
    <mergeCell ref="L88:L91"/>
    <mergeCell ref="L84:L87"/>
    <mergeCell ref="L80:L83"/>
    <mergeCell ref="E36:E37"/>
    <mergeCell ref="E38:E39"/>
    <mergeCell ref="E30:E31"/>
    <mergeCell ref="E32:E33"/>
    <mergeCell ref="E76:E77"/>
    <mergeCell ref="E78:E79"/>
    <mergeCell ref="K10:K21"/>
    <mergeCell ref="E92:E93"/>
    <mergeCell ref="K92:K95"/>
    <mergeCell ref="E94:E95"/>
    <mergeCell ref="K36:K45"/>
    <mergeCell ref="K46:K55"/>
    <mergeCell ref="K56:K65"/>
    <mergeCell ref="K66:K75"/>
    <mergeCell ref="E84:E85"/>
    <mergeCell ref="K84:K87"/>
    <mergeCell ref="E86:E87"/>
    <mergeCell ref="E88:E89"/>
    <mergeCell ref="AC143:AF143"/>
    <mergeCell ref="Q143:T143"/>
    <mergeCell ref="U143:X143"/>
    <mergeCell ref="Y143:AB143"/>
    <mergeCell ref="L96:L103"/>
    <mergeCell ref="L66:L75"/>
    <mergeCell ref="L56:L65"/>
    <mergeCell ref="L46:L55"/>
    <mergeCell ref="L26:L35"/>
    <mergeCell ref="L36:L45"/>
    <mergeCell ref="K26:K35"/>
    <mergeCell ref="E56:E57"/>
    <mergeCell ref="E58:E59"/>
    <mergeCell ref="K76:K79"/>
    <mergeCell ref="D46:D55"/>
    <mergeCell ref="E46:E47"/>
    <mergeCell ref="E48:E49"/>
    <mergeCell ref="E50:E51"/>
    <mergeCell ref="E52:E53"/>
    <mergeCell ref="E54:E55"/>
    <mergeCell ref="E40:E41"/>
    <mergeCell ref="D56:D65"/>
    <mergeCell ref="D36:D45"/>
    <mergeCell ref="E42:E43"/>
    <mergeCell ref="E44:E45"/>
    <mergeCell ref="E66:E67"/>
    <mergeCell ref="E68:E69"/>
    <mergeCell ref="E70:E71"/>
    <mergeCell ref="E72:E73"/>
    <mergeCell ref="E60:E61"/>
    <mergeCell ref="E62:E63"/>
    <mergeCell ref="E34:E35"/>
    <mergeCell ref="D66:D75"/>
    <mergeCell ref="B415:B429"/>
    <mergeCell ref="D161:D168"/>
    <mergeCell ref="D169:D170"/>
    <mergeCell ref="D291:D295"/>
    <mergeCell ref="C394:C403"/>
    <mergeCell ref="D76:D79"/>
    <mergeCell ref="D104:D106"/>
    <mergeCell ref="D131:D135"/>
    <mergeCell ref="D358:D360"/>
    <mergeCell ref="D340:D347"/>
    <mergeCell ref="D350:D352"/>
    <mergeCell ref="D348:D349"/>
    <mergeCell ref="D353:D357"/>
    <mergeCell ref="D307:D312"/>
    <mergeCell ref="C236:C277"/>
    <mergeCell ref="D192:D201"/>
    <mergeCell ref="D182:D191"/>
    <mergeCell ref="D202:D207"/>
    <mergeCell ref="D236:D239"/>
    <mergeCell ref="D260:D265"/>
    <mergeCell ref="C340:C380"/>
    <mergeCell ref="D96:D103"/>
    <mergeCell ref="D136:D143"/>
    <mergeCell ref="D144:D151"/>
    <mergeCell ref="B8:B24"/>
    <mergeCell ref="D10:D11"/>
    <mergeCell ref="D12:D13"/>
    <mergeCell ref="D14:D15"/>
    <mergeCell ref="D20:D21"/>
    <mergeCell ref="D16:D17"/>
    <mergeCell ref="D18:D19"/>
    <mergeCell ref="C10:C23"/>
    <mergeCell ref="D208:D219"/>
    <mergeCell ref="D152:D159"/>
    <mergeCell ref="D171:D175"/>
    <mergeCell ref="D178:D181"/>
    <mergeCell ref="D123:D130"/>
    <mergeCell ref="D115:D122"/>
    <mergeCell ref="D107:D114"/>
    <mergeCell ref="C178:C219"/>
    <mergeCell ref="C25:C175"/>
    <mergeCell ref="D26:D35"/>
    <mergeCell ref="D92:D95"/>
    <mergeCell ref="D84:D87"/>
    <mergeCell ref="D88:D91"/>
    <mergeCell ref="K250:K259"/>
    <mergeCell ref="K266:K277"/>
    <mergeCell ref="K260:K265"/>
    <mergeCell ref="E280:E281"/>
    <mergeCell ref="E278:E279"/>
    <mergeCell ref="E266:E267"/>
    <mergeCell ref="E379:E380"/>
    <mergeCell ref="E377:E378"/>
    <mergeCell ref="E375:E376"/>
    <mergeCell ref="E373:E374"/>
    <mergeCell ref="E371:E372"/>
    <mergeCell ref="E369:E370"/>
    <mergeCell ref="E367:E368"/>
    <mergeCell ref="K307:K312"/>
    <mergeCell ref="E254:E255"/>
    <mergeCell ref="E256:E257"/>
    <mergeCell ref="E268:E269"/>
    <mergeCell ref="E270:E271"/>
    <mergeCell ref="E274:E275"/>
    <mergeCell ref="E196:E197"/>
    <mergeCell ref="E198:E199"/>
    <mergeCell ref="E202:E203"/>
    <mergeCell ref="E214:E215"/>
    <mergeCell ref="E236:E237"/>
    <mergeCell ref="D337:D338"/>
    <mergeCell ref="C339:D339"/>
    <mergeCell ref="E258:E259"/>
    <mergeCell ref="E260:E261"/>
    <mergeCell ref="E262:E263"/>
    <mergeCell ref="E204:E205"/>
    <mergeCell ref="E200:E201"/>
    <mergeCell ref="D266:D277"/>
    <mergeCell ref="D240:D249"/>
    <mergeCell ref="D250:D259"/>
    <mergeCell ref="E218:E219"/>
    <mergeCell ref="D278:D281"/>
    <mergeCell ref="E244:E245"/>
    <mergeCell ref="E246:E247"/>
    <mergeCell ref="E248:E249"/>
    <mergeCell ref="E272:E273"/>
    <mergeCell ref="E264:E265"/>
    <mergeCell ref="K182:K191"/>
    <mergeCell ref="K192:K201"/>
    <mergeCell ref="K96:K103"/>
    <mergeCell ref="L220:L221"/>
    <mergeCell ref="L230:L235"/>
    <mergeCell ref="L227:L229"/>
    <mergeCell ref="E238:E239"/>
    <mergeCell ref="E250:E251"/>
    <mergeCell ref="E252:E253"/>
    <mergeCell ref="L222:L226"/>
    <mergeCell ref="E182:E183"/>
    <mergeCell ref="E184:E185"/>
    <mergeCell ref="E186:E187"/>
    <mergeCell ref="E188:E189"/>
    <mergeCell ref="E190:E191"/>
    <mergeCell ref="E192:E193"/>
    <mergeCell ref="E194:E195"/>
    <mergeCell ref="E240:E241"/>
    <mergeCell ref="E242:E243"/>
    <mergeCell ref="E206:E207"/>
    <mergeCell ref="E208:E209"/>
    <mergeCell ref="E210:E211"/>
    <mergeCell ref="E212:E213"/>
    <mergeCell ref="E216:E217"/>
    <mergeCell ref="L337:L338"/>
    <mergeCell ref="L321:L334"/>
    <mergeCell ref="L299:L301"/>
    <mergeCell ref="L313:L318"/>
    <mergeCell ref="C278:C318"/>
    <mergeCell ref="B25:B414"/>
    <mergeCell ref="L76:L79"/>
    <mergeCell ref="K236:K239"/>
    <mergeCell ref="K240:K249"/>
    <mergeCell ref="K115:K122"/>
    <mergeCell ref="L192:L201"/>
    <mergeCell ref="L202:L207"/>
    <mergeCell ref="L208:L219"/>
    <mergeCell ref="L236:L239"/>
    <mergeCell ref="L240:L249"/>
    <mergeCell ref="L104:L106"/>
    <mergeCell ref="L107:L114"/>
    <mergeCell ref="K202:K207"/>
    <mergeCell ref="K208:K219"/>
    <mergeCell ref="L123:L130"/>
    <mergeCell ref="L131:L135"/>
    <mergeCell ref="L136:L143"/>
    <mergeCell ref="L144:L151"/>
    <mergeCell ref="L152:L159"/>
  </mergeCells>
  <phoneticPr fontId="6" type="noConversion"/>
  <printOptions horizontalCentered="1"/>
  <pageMargins left="0.23622047244094491" right="0.23622047244094491" top="0.35433070866141736" bottom="0.35433070866141736" header="0.31496062992125984" footer="0.31496062992125984"/>
  <pageSetup paperSize="9" scale="40" fitToHeight="14"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20000"/>
  </sheetPr>
  <dimension ref="B6:L104"/>
  <sheetViews>
    <sheetView showGridLines="0" tabSelected="1" zoomScaleNormal="100" workbookViewId="0">
      <pane ySplit="7" topLeftCell="A8" activePane="bottomLeft" state="frozen"/>
      <selection pane="bottomLeft" activeCell="D11" sqref="D11"/>
    </sheetView>
  </sheetViews>
  <sheetFormatPr defaultColWidth="8" defaultRowHeight="13.2"/>
  <cols>
    <col min="1" max="1" width="2.6640625" style="14" customWidth="1"/>
    <col min="2" max="2" width="14.77734375" style="1" customWidth="1"/>
    <col min="3" max="3" width="21.33203125" style="243" customWidth="1"/>
    <col min="4" max="4" width="54.88671875" style="1" customWidth="1"/>
    <col min="5" max="5" width="13.88671875" style="5" bestFit="1" customWidth="1"/>
    <col min="6" max="7" width="11.6640625" style="5" customWidth="1"/>
    <col min="8" max="9" width="11.6640625" style="14" customWidth="1"/>
    <col min="10" max="10" width="17.44140625" style="8" customWidth="1"/>
    <col min="11" max="11" width="42" style="8" customWidth="1"/>
    <col min="12" max="12" width="38.6640625" style="8" customWidth="1"/>
    <col min="13" max="16384" width="8" style="14"/>
  </cols>
  <sheetData>
    <row r="6" spans="2:12" ht="13.8" thickBot="1"/>
    <row r="7" spans="2:12" s="3" customFormat="1" ht="19.95" customHeight="1" thickBot="1">
      <c r="B7" s="21" t="s">
        <v>101</v>
      </c>
      <c r="C7" s="22" t="s">
        <v>102</v>
      </c>
      <c r="D7" s="281" t="s">
        <v>103</v>
      </c>
      <c r="E7" s="281" t="s">
        <v>104</v>
      </c>
      <c r="F7" s="281">
        <v>2021</v>
      </c>
      <c r="G7" s="281">
        <v>2022</v>
      </c>
      <c r="H7" s="281">
        <v>2023</v>
      </c>
      <c r="I7" s="281">
        <v>2024</v>
      </c>
      <c r="J7" s="281" t="s">
        <v>105</v>
      </c>
      <c r="K7" s="281" t="s">
        <v>207</v>
      </c>
      <c r="L7" s="20" t="s">
        <v>208</v>
      </c>
    </row>
    <row r="8" spans="2:12" s="190" customFormat="1" ht="30" customHeight="1">
      <c r="B8" s="670" t="s">
        <v>434</v>
      </c>
      <c r="C8" s="449" t="s">
        <v>435</v>
      </c>
      <c r="D8" s="351" t="s">
        <v>436</v>
      </c>
      <c r="E8" s="194" t="s">
        <v>437</v>
      </c>
      <c r="F8" s="195">
        <v>63.98</v>
      </c>
      <c r="G8" s="195">
        <v>66.382000000000005</v>
      </c>
      <c r="H8" s="195">
        <v>65.195999999999998</v>
      </c>
      <c r="I8" s="195">
        <v>63.7</v>
      </c>
      <c r="J8" s="658"/>
      <c r="K8" s="658"/>
      <c r="L8" s="651"/>
    </row>
    <row r="9" spans="2:12" s="190" customFormat="1" ht="30" customHeight="1">
      <c r="B9" s="670"/>
      <c r="C9" s="449" t="s">
        <v>435</v>
      </c>
      <c r="D9" s="352" t="s">
        <v>438</v>
      </c>
      <c r="E9" s="353" t="s">
        <v>437</v>
      </c>
      <c r="F9" s="197">
        <v>-15.035</v>
      </c>
      <c r="G9" s="197">
        <v>-32.296999999999997</v>
      </c>
      <c r="H9" s="197">
        <v>-39.545000000000002</v>
      </c>
      <c r="I9" s="197">
        <v>-29.7</v>
      </c>
      <c r="J9" s="658"/>
      <c r="K9" s="658"/>
      <c r="L9" s="651"/>
    </row>
    <row r="10" spans="2:12" s="190" customFormat="1" ht="30" customHeight="1">
      <c r="B10" s="670"/>
      <c r="C10" s="449" t="s">
        <v>435</v>
      </c>
      <c r="D10" s="352" t="s">
        <v>439</v>
      </c>
      <c r="E10" s="353" t="s">
        <v>437</v>
      </c>
      <c r="F10" s="68">
        <v>48.9</v>
      </c>
      <c r="G10" s="68">
        <v>34.085000000000001</v>
      </c>
      <c r="H10" s="68">
        <v>25.651</v>
      </c>
      <c r="I10" s="68">
        <f>I8+I9</f>
        <v>34</v>
      </c>
      <c r="J10" s="658"/>
      <c r="K10" s="658"/>
      <c r="L10" s="651"/>
    </row>
    <row r="11" spans="2:12" s="190" customFormat="1" ht="30" customHeight="1">
      <c r="B11" s="670"/>
      <c r="C11" s="449" t="s">
        <v>435</v>
      </c>
      <c r="D11" s="352" t="s">
        <v>440</v>
      </c>
      <c r="E11" s="353" t="s">
        <v>437</v>
      </c>
      <c r="F11" s="68">
        <v>11.451000000000001</v>
      </c>
      <c r="G11" s="68">
        <v>14.760999999999999</v>
      </c>
      <c r="H11" s="68">
        <v>17.879000000000001</v>
      </c>
      <c r="I11" s="68">
        <v>19.2</v>
      </c>
      <c r="J11" s="658"/>
      <c r="K11" s="658"/>
      <c r="L11" s="651"/>
    </row>
    <row r="12" spans="2:12" s="190" customFormat="1" ht="30" customHeight="1">
      <c r="B12" s="670"/>
      <c r="C12" s="449" t="s">
        <v>435</v>
      </c>
      <c r="D12" s="352" t="s">
        <v>441</v>
      </c>
      <c r="E12" s="353" t="s">
        <v>437</v>
      </c>
      <c r="F12" s="68">
        <v>34.098999999999997</v>
      </c>
      <c r="G12" s="68">
        <v>35.694000000000003</v>
      </c>
      <c r="H12" s="68">
        <v>35.642000000000003</v>
      </c>
      <c r="I12" s="68">
        <v>38.299999999999997</v>
      </c>
      <c r="J12" s="658"/>
      <c r="K12" s="658"/>
      <c r="L12" s="651"/>
    </row>
    <row r="13" spans="2:12" s="190" customFormat="1" ht="30" customHeight="1">
      <c r="B13" s="670"/>
      <c r="C13" s="449" t="s">
        <v>435</v>
      </c>
      <c r="D13" s="352" t="s">
        <v>442</v>
      </c>
      <c r="E13" s="353" t="s">
        <v>437</v>
      </c>
      <c r="F13" s="197">
        <v>-21.396999999999998</v>
      </c>
      <c r="G13" s="197">
        <v>-23.405000000000001</v>
      </c>
      <c r="H13" s="197">
        <v>-24.908000000000001</v>
      </c>
      <c r="I13" s="197">
        <v>-25.5</v>
      </c>
      <c r="J13" s="658"/>
      <c r="K13" s="658"/>
      <c r="L13" s="651"/>
    </row>
    <row r="14" spans="2:12" s="190" customFormat="1" ht="30" customHeight="1">
      <c r="B14" s="670"/>
      <c r="C14" s="449" t="s">
        <v>435</v>
      </c>
      <c r="D14" s="352" t="s">
        <v>443</v>
      </c>
      <c r="E14" s="353" t="s">
        <v>437</v>
      </c>
      <c r="F14" s="197">
        <v>-20.722000000000001</v>
      </c>
      <c r="G14" s="197">
        <v>-22.055</v>
      </c>
      <c r="H14" s="197">
        <v>-22.6</v>
      </c>
      <c r="I14" s="197">
        <v>-23.3</v>
      </c>
      <c r="J14" s="658"/>
      <c r="K14" s="658"/>
      <c r="L14" s="651"/>
    </row>
    <row r="15" spans="2:12" s="190" customFormat="1" ht="30" customHeight="1">
      <c r="B15" s="670"/>
      <c r="C15" s="449" t="s">
        <v>435</v>
      </c>
      <c r="D15" s="352" t="s">
        <v>444</v>
      </c>
      <c r="E15" s="353" t="s">
        <v>437</v>
      </c>
      <c r="F15" s="197">
        <v>-4.8230000000000004</v>
      </c>
      <c r="G15" s="197">
        <v>-3.68</v>
      </c>
      <c r="H15" s="197">
        <v>-6.7220000000000004</v>
      </c>
      <c r="I15" s="197">
        <v>-10.5</v>
      </c>
      <c r="J15" s="658"/>
      <c r="K15" s="658"/>
      <c r="L15" s="651"/>
    </row>
    <row r="16" spans="2:12" s="190" customFormat="1" ht="30" customHeight="1">
      <c r="B16" s="670"/>
      <c r="C16" s="449" t="s">
        <v>435</v>
      </c>
      <c r="D16" s="352" t="s">
        <v>445</v>
      </c>
      <c r="E16" s="353" t="s">
        <v>437</v>
      </c>
      <c r="F16" s="197">
        <v>-7.5350000000000001</v>
      </c>
      <c r="G16" s="197">
        <v>-7.9930000000000003</v>
      </c>
      <c r="H16" s="197">
        <v>-7.9420000000000002</v>
      </c>
      <c r="I16" s="197">
        <v>-8.1</v>
      </c>
      <c r="J16" s="658"/>
      <c r="K16" s="658"/>
      <c r="L16" s="651"/>
    </row>
    <row r="17" spans="2:12" s="190" customFormat="1" ht="30" customHeight="1">
      <c r="B17" s="670"/>
      <c r="C17" s="449" t="s">
        <v>435</v>
      </c>
      <c r="D17" s="352" t="s">
        <v>446</v>
      </c>
      <c r="E17" s="353" t="s">
        <v>437</v>
      </c>
      <c r="F17" s="68">
        <v>0.14399999999999999</v>
      </c>
      <c r="G17" s="68">
        <v>0.23300000000000001</v>
      </c>
      <c r="H17" s="68">
        <v>0.57299999999999995</v>
      </c>
      <c r="I17" s="68">
        <v>0.4</v>
      </c>
      <c r="J17" s="658"/>
      <c r="K17" s="658"/>
      <c r="L17" s="651"/>
    </row>
    <row r="18" spans="2:12" s="190" customFormat="1" ht="30" customHeight="1" thickBot="1">
      <c r="B18" s="670"/>
      <c r="C18" s="449" t="s">
        <v>435</v>
      </c>
      <c r="D18" s="354" t="s">
        <v>447</v>
      </c>
      <c r="E18" s="355" t="s">
        <v>437</v>
      </c>
      <c r="F18" s="199">
        <v>26.215</v>
      </c>
      <c r="G18" s="199">
        <v>20.68</v>
      </c>
      <c r="H18" s="199">
        <v>16.297000000000001</v>
      </c>
      <c r="I18" s="199">
        <v>19.600000000000001</v>
      </c>
      <c r="J18" s="659"/>
      <c r="K18" s="659"/>
      <c r="L18" s="652"/>
    </row>
    <row r="19" spans="2:12" s="190" customFormat="1" ht="30" customHeight="1" thickBot="1">
      <c r="B19" s="670"/>
      <c r="C19" s="450" t="s">
        <v>448</v>
      </c>
      <c r="D19" s="356" t="s">
        <v>449</v>
      </c>
      <c r="E19" s="357" t="s">
        <v>450</v>
      </c>
      <c r="F19" s="195">
        <v>1.695217</v>
      </c>
      <c r="G19" s="195">
        <v>1.830247</v>
      </c>
      <c r="H19" s="195">
        <v>1.9640519999999999</v>
      </c>
      <c r="I19" s="195">
        <v>2.1</v>
      </c>
      <c r="J19" s="658"/>
      <c r="K19" s="658"/>
      <c r="L19" s="651"/>
    </row>
    <row r="20" spans="2:12" s="190" customFormat="1" ht="30" customHeight="1" thickBot="1">
      <c r="B20" s="671"/>
      <c r="C20" s="450" t="s">
        <v>448</v>
      </c>
      <c r="D20" s="354" t="s">
        <v>451</v>
      </c>
      <c r="E20" s="355" t="s">
        <v>437</v>
      </c>
      <c r="F20" s="70">
        <v>812.65700000000004</v>
      </c>
      <c r="G20" s="70">
        <v>891.93299999999999</v>
      </c>
      <c r="H20" s="70">
        <v>877.28499999999997</v>
      </c>
      <c r="I20" s="70">
        <v>981.7</v>
      </c>
      <c r="J20" s="660"/>
      <c r="K20" s="660"/>
      <c r="L20" s="653"/>
    </row>
    <row r="21" spans="2:12" s="190" customFormat="1" ht="30" customHeight="1">
      <c r="B21" s="547" t="s">
        <v>452</v>
      </c>
      <c r="C21" s="201" t="s">
        <v>453</v>
      </c>
      <c r="D21" s="201" t="s">
        <v>454</v>
      </c>
      <c r="E21" s="202" t="s">
        <v>455</v>
      </c>
      <c r="F21" s="203">
        <v>69892</v>
      </c>
      <c r="G21" s="203">
        <v>60059</v>
      </c>
      <c r="H21" s="203">
        <v>50343</v>
      </c>
      <c r="I21" s="203">
        <v>58970</v>
      </c>
      <c r="J21" s="476" t="s">
        <v>24</v>
      </c>
      <c r="K21" s="476"/>
      <c r="L21" s="654"/>
    </row>
    <row r="22" spans="2:12" s="190" customFormat="1" ht="30" customHeight="1">
      <c r="B22" s="547"/>
      <c r="C22" s="451" t="s">
        <v>456</v>
      </c>
      <c r="D22" s="204" t="s">
        <v>457</v>
      </c>
      <c r="E22" s="205" t="s">
        <v>455</v>
      </c>
      <c r="F22" s="206">
        <v>18794</v>
      </c>
      <c r="G22" s="206">
        <v>20484</v>
      </c>
      <c r="H22" s="206">
        <v>20806</v>
      </c>
      <c r="I22" s="206">
        <v>22197</v>
      </c>
      <c r="J22" s="473"/>
      <c r="K22" s="473"/>
      <c r="L22" s="655"/>
    </row>
    <row r="23" spans="2:12" s="190" customFormat="1" ht="30" customHeight="1">
      <c r="B23" s="547"/>
      <c r="C23" s="451" t="s">
        <v>456</v>
      </c>
      <c r="D23" s="196" t="s">
        <v>458</v>
      </c>
      <c r="E23" s="43" t="s">
        <v>455</v>
      </c>
      <c r="F23" s="72">
        <v>23616</v>
      </c>
      <c r="G23" s="72">
        <v>17672</v>
      </c>
      <c r="H23" s="72">
        <v>12051</v>
      </c>
      <c r="I23" s="72">
        <v>16140</v>
      </c>
      <c r="J23" s="473"/>
      <c r="K23" s="473"/>
      <c r="L23" s="655"/>
    </row>
    <row r="24" spans="2:12" s="190" customFormat="1" ht="30" customHeight="1">
      <c r="B24" s="547"/>
      <c r="C24" s="451" t="s">
        <v>456</v>
      </c>
      <c r="D24" s="196" t="s">
        <v>459</v>
      </c>
      <c r="E24" s="43" t="s">
        <v>455</v>
      </c>
      <c r="F24" s="72">
        <v>9240</v>
      </c>
      <c r="G24" s="72">
        <v>10172</v>
      </c>
      <c r="H24" s="72">
        <v>11311</v>
      </c>
      <c r="I24" s="72">
        <v>11283</v>
      </c>
      <c r="J24" s="474"/>
      <c r="K24" s="474"/>
      <c r="L24" s="656"/>
    </row>
    <row r="25" spans="2:12" s="190" customFormat="1" ht="30" customHeight="1">
      <c r="B25" s="547"/>
      <c r="C25" s="451" t="s">
        <v>456</v>
      </c>
      <c r="D25" s="198" t="s">
        <v>460</v>
      </c>
      <c r="E25" s="45" t="s">
        <v>455</v>
      </c>
      <c r="F25" s="73">
        <v>1267</v>
      </c>
      <c r="G25" s="73">
        <v>1223</v>
      </c>
      <c r="H25" s="73">
        <v>1189</v>
      </c>
      <c r="I25" s="73">
        <v>1079</v>
      </c>
      <c r="J25" s="474"/>
      <c r="K25" s="474"/>
      <c r="L25" s="656"/>
    </row>
    <row r="26" spans="2:12" s="190" customFormat="1" ht="30" customHeight="1" thickBot="1">
      <c r="B26" s="548"/>
      <c r="C26" s="297" t="s">
        <v>461</v>
      </c>
      <c r="D26" s="207" t="s">
        <v>462</v>
      </c>
      <c r="E26" s="115" t="s">
        <v>455</v>
      </c>
      <c r="F26" s="116">
        <v>16975</v>
      </c>
      <c r="G26" s="116">
        <v>10508</v>
      </c>
      <c r="H26" s="116">
        <v>4986</v>
      </c>
      <c r="I26" s="116">
        <v>8271</v>
      </c>
      <c r="J26" s="477"/>
      <c r="K26" s="477"/>
      <c r="L26" s="657"/>
    </row>
    <row r="27" spans="2:12" s="190" customFormat="1" ht="30" customHeight="1" thickBot="1">
      <c r="B27" s="630" t="s">
        <v>463</v>
      </c>
      <c r="C27" s="444" t="s">
        <v>464</v>
      </c>
      <c r="D27" s="55" t="s">
        <v>465</v>
      </c>
      <c r="E27" s="56" t="s">
        <v>455</v>
      </c>
      <c r="F27" s="71">
        <v>638</v>
      </c>
      <c r="G27" s="77">
        <v>1458</v>
      </c>
      <c r="H27" s="77">
        <v>1967</v>
      </c>
      <c r="I27" s="77">
        <v>3353</v>
      </c>
      <c r="J27" s="507" t="s">
        <v>94</v>
      </c>
      <c r="K27" s="555" t="s">
        <v>468</v>
      </c>
      <c r="L27" s="661" t="s">
        <v>469</v>
      </c>
    </row>
    <row r="28" spans="2:12" s="190" customFormat="1" ht="30" customHeight="1">
      <c r="B28" s="630"/>
      <c r="C28" s="444" t="s">
        <v>464</v>
      </c>
      <c r="D28" s="63" t="s">
        <v>466</v>
      </c>
      <c r="E28" s="45" t="s">
        <v>455</v>
      </c>
      <c r="F28" s="73">
        <v>579</v>
      </c>
      <c r="G28" s="208">
        <v>949</v>
      </c>
      <c r="H28" s="209">
        <v>805.4</v>
      </c>
      <c r="I28" s="209">
        <v>7434</v>
      </c>
      <c r="J28" s="508"/>
      <c r="K28" s="513"/>
      <c r="L28" s="570"/>
    </row>
    <row r="29" spans="2:12" s="190" customFormat="1" ht="30" customHeight="1">
      <c r="B29" s="630"/>
      <c r="C29" s="446" t="s">
        <v>467</v>
      </c>
      <c r="D29" s="108" t="s">
        <v>465</v>
      </c>
      <c r="E29" s="41" t="s">
        <v>455</v>
      </c>
      <c r="F29" s="305">
        <v>715</v>
      </c>
      <c r="G29" s="304">
        <v>495</v>
      </c>
      <c r="H29" s="304">
        <v>369</v>
      </c>
      <c r="I29" s="304">
        <v>1854</v>
      </c>
      <c r="J29" s="508"/>
      <c r="K29" s="513"/>
      <c r="L29" s="570"/>
    </row>
    <row r="30" spans="2:12" s="190" customFormat="1" ht="30" customHeight="1" thickBot="1">
      <c r="B30" s="630"/>
      <c r="C30" s="446" t="s">
        <v>467</v>
      </c>
      <c r="D30" s="114" t="s">
        <v>466</v>
      </c>
      <c r="E30" s="59" t="s">
        <v>455</v>
      </c>
      <c r="F30" s="153">
        <v>326</v>
      </c>
      <c r="G30" s="153">
        <v>121</v>
      </c>
      <c r="H30" s="153">
        <v>170</v>
      </c>
      <c r="I30" s="153">
        <v>491</v>
      </c>
      <c r="J30" s="463"/>
      <c r="K30" s="574"/>
      <c r="L30" s="662"/>
    </row>
    <row r="31" spans="2:12" s="190" customFormat="1" ht="30" customHeight="1" thickBot="1">
      <c r="B31" s="672" t="s">
        <v>470</v>
      </c>
      <c r="C31" s="452" t="s">
        <v>471</v>
      </c>
      <c r="D31" s="358" t="s">
        <v>472</v>
      </c>
      <c r="E31" s="359" t="s">
        <v>437</v>
      </c>
      <c r="F31" s="210">
        <v>540.6</v>
      </c>
      <c r="G31" s="210">
        <v>569.20000000000005</v>
      </c>
      <c r="H31" s="211">
        <v>659.2</v>
      </c>
      <c r="I31" s="211">
        <v>856</v>
      </c>
      <c r="J31" s="212" t="s">
        <v>33</v>
      </c>
      <c r="K31" s="212"/>
      <c r="L31" s="213"/>
    </row>
    <row r="32" spans="2:12" s="190" customFormat="1" ht="30" customHeight="1" thickBot="1">
      <c r="B32" s="673"/>
      <c r="C32" s="452" t="s">
        <v>471</v>
      </c>
      <c r="D32" s="308" t="s">
        <v>473</v>
      </c>
      <c r="E32" s="360" t="s">
        <v>1</v>
      </c>
      <c r="F32" s="214">
        <v>99.77</v>
      </c>
      <c r="G32" s="214">
        <v>99.88</v>
      </c>
      <c r="H32" s="214">
        <v>99.931117339368996</v>
      </c>
      <c r="I32" s="214">
        <v>99.94</v>
      </c>
      <c r="J32" s="462" t="s">
        <v>93</v>
      </c>
      <c r="K32" s="462"/>
      <c r="L32" s="682"/>
    </row>
    <row r="33" spans="2:12" s="190" customFormat="1" ht="30" customHeight="1" thickBot="1">
      <c r="B33" s="673"/>
      <c r="C33" s="452" t="s">
        <v>471</v>
      </c>
      <c r="D33" s="364" t="s">
        <v>474</v>
      </c>
      <c r="E33" s="361" t="s">
        <v>1</v>
      </c>
      <c r="F33" s="215">
        <v>100</v>
      </c>
      <c r="G33" s="215">
        <v>100</v>
      </c>
      <c r="H33" s="215">
        <v>100</v>
      </c>
      <c r="I33" s="215">
        <v>100</v>
      </c>
      <c r="J33" s="509"/>
      <c r="K33" s="509"/>
      <c r="L33" s="683"/>
    </row>
    <row r="34" spans="2:12" s="190" customFormat="1" ht="30" customHeight="1" thickBot="1">
      <c r="B34" s="673"/>
      <c r="C34" s="452" t="s">
        <v>471</v>
      </c>
      <c r="D34" s="362" t="s">
        <v>475</v>
      </c>
      <c r="E34" s="194" t="s">
        <v>1</v>
      </c>
      <c r="F34" s="216">
        <v>6.9999999999999993E-2</v>
      </c>
      <c r="G34" s="216">
        <v>0.09</v>
      </c>
      <c r="H34" s="216">
        <v>0.05</v>
      </c>
      <c r="I34" s="216">
        <v>0.03</v>
      </c>
      <c r="J34" s="290" t="s">
        <v>95</v>
      </c>
      <c r="K34" s="290"/>
      <c r="L34" s="298"/>
    </row>
    <row r="35" spans="2:12" s="190" customFormat="1" ht="30" customHeight="1" thickBot="1">
      <c r="B35" s="673"/>
      <c r="C35" s="452" t="s">
        <v>471</v>
      </c>
      <c r="D35" s="363" t="s">
        <v>476</v>
      </c>
      <c r="E35" s="353" t="s">
        <v>1</v>
      </c>
      <c r="F35" s="217">
        <v>1.05</v>
      </c>
      <c r="G35" s="217">
        <v>1.05</v>
      </c>
      <c r="H35" s="217">
        <v>0.76</v>
      </c>
      <c r="I35" s="217">
        <v>0.86</v>
      </c>
      <c r="J35" s="290" t="s">
        <v>96</v>
      </c>
      <c r="K35" s="290"/>
      <c r="L35" s="298"/>
    </row>
    <row r="36" spans="2:12" s="190" customFormat="1" ht="30" customHeight="1" thickBot="1">
      <c r="B36" s="674"/>
      <c r="C36" s="452" t="s">
        <v>471</v>
      </c>
      <c r="D36" s="363" t="s">
        <v>477</v>
      </c>
      <c r="E36" s="353" t="s">
        <v>1</v>
      </c>
      <c r="F36" s="218">
        <v>0.19</v>
      </c>
      <c r="G36" s="218">
        <v>0.11</v>
      </c>
      <c r="H36" s="218">
        <v>0.06</v>
      </c>
      <c r="I36" s="218">
        <v>0.22</v>
      </c>
      <c r="J36" s="290"/>
      <c r="K36" s="290"/>
      <c r="L36" s="298"/>
    </row>
    <row r="37" spans="2:12" s="190" customFormat="1" ht="30" customHeight="1" thickBot="1">
      <c r="B37" s="629" t="s">
        <v>478</v>
      </c>
      <c r="C37" s="445" t="s">
        <v>479</v>
      </c>
      <c r="D37" s="282" t="s">
        <v>480</v>
      </c>
      <c r="E37" s="56" t="s">
        <v>1</v>
      </c>
      <c r="F37" s="219">
        <v>31.45</v>
      </c>
      <c r="G37" s="219">
        <v>37.29</v>
      </c>
      <c r="H37" s="219">
        <v>42.46</v>
      </c>
      <c r="I37" s="219">
        <v>49.48</v>
      </c>
      <c r="J37" s="483" t="s">
        <v>65</v>
      </c>
      <c r="K37" s="483"/>
      <c r="L37" s="663"/>
    </row>
    <row r="38" spans="2:12" s="190" customFormat="1" ht="30" customHeight="1" thickBot="1">
      <c r="B38" s="630"/>
      <c r="C38" s="445" t="s">
        <v>479</v>
      </c>
      <c r="D38" s="283" t="s">
        <v>481</v>
      </c>
      <c r="E38" s="43" t="s">
        <v>1</v>
      </c>
      <c r="F38" s="217">
        <v>67.489999999999995</v>
      </c>
      <c r="G38" s="217">
        <v>61.55</v>
      </c>
      <c r="H38" s="217">
        <v>56.23</v>
      </c>
      <c r="I38" s="217">
        <v>49.07</v>
      </c>
      <c r="J38" s="484"/>
      <c r="K38" s="484"/>
      <c r="L38" s="664"/>
    </row>
    <row r="39" spans="2:12" s="190" customFormat="1" ht="30" customHeight="1">
      <c r="B39" s="630"/>
      <c r="C39" s="445" t="s">
        <v>479</v>
      </c>
      <c r="D39" s="284" t="s">
        <v>482</v>
      </c>
      <c r="E39" s="45" t="s">
        <v>1</v>
      </c>
      <c r="F39" s="215">
        <v>1.06</v>
      </c>
      <c r="G39" s="215">
        <v>1.1599999999999999</v>
      </c>
      <c r="H39" s="215">
        <v>1.31</v>
      </c>
      <c r="I39" s="215">
        <v>1.45</v>
      </c>
      <c r="J39" s="510"/>
      <c r="K39" s="510"/>
      <c r="L39" s="665"/>
    </row>
    <row r="40" spans="2:12" s="190" customFormat="1" ht="40.049999999999997" customHeight="1" thickBot="1">
      <c r="B40" s="631"/>
      <c r="C40" s="280" t="s">
        <v>483</v>
      </c>
      <c r="D40" s="280" t="s">
        <v>484</v>
      </c>
      <c r="E40" s="115" t="s">
        <v>1</v>
      </c>
      <c r="F40" s="220">
        <v>241.66</v>
      </c>
      <c r="G40" s="220">
        <v>238.23</v>
      </c>
      <c r="H40" s="220">
        <v>197.88</v>
      </c>
      <c r="I40" s="220">
        <v>180.66</v>
      </c>
      <c r="J40" s="297" t="s">
        <v>56</v>
      </c>
      <c r="K40" s="368" t="s">
        <v>485</v>
      </c>
      <c r="L40" s="312"/>
    </row>
    <row r="41" spans="2:12" s="190" customFormat="1" ht="30" customHeight="1" thickBot="1">
      <c r="B41" s="643" t="s">
        <v>486</v>
      </c>
      <c r="C41" s="447" t="s">
        <v>487</v>
      </c>
      <c r="D41" s="365" t="s">
        <v>488</v>
      </c>
      <c r="E41" s="357" t="s">
        <v>229</v>
      </c>
      <c r="F41" s="71">
        <v>5166</v>
      </c>
      <c r="G41" s="71">
        <v>7543</v>
      </c>
      <c r="H41" s="71">
        <v>7172</v>
      </c>
      <c r="I41" s="71">
        <v>9492</v>
      </c>
      <c r="J41" s="483" t="s">
        <v>86</v>
      </c>
      <c r="K41" s="344" t="s">
        <v>492</v>
      </c>
      <c r="L41" s="663"/>
    </row>
    <row r="42" spans="2:12" s="190" customFormat="1" ht="30" customHeight="1" thickBot="1">
      <c r="B42" s="644"/>
      <c r="C42" s="447" t="s">
        <v>487</v>
      </c>
      <c r="D42" s="309" t="s">
        <v>489</v>
      </c>
      <c r="E42" s="353" t="s">
        <v>229</v>
      </c>
      <c r="F42" s="72">
        <v>1589</v>
      </c>
      <c r="G42" s="72">
        <v>1972</v>
      </c>
      <c r="H42" s="72">
        <v>1696</v>
      </c>
      <c r="I42" s="72">
        <v>1597</v>
      </c>
      <c r="J42" s="484"/>
      <c r="K42" s="345" t="s">
        <v>493</v>
      </c>
      <c r="L42" s="664"/>
    </row>
    <row r="43" spans="2:12" s="190" customFormat="1" ht="30" customHeight="1" thickBot="1">
      <c r="B43" s="644"/>
      <c r="C43" s="447" t="s">
        <v>487</v>
      </c>
      <c r="D43" s="310" t="s">
        <v>490</v>
      </c>
      <c r="E43" s="361" t="s">
        <v>229</v>
      </c>
      <c r="F43" s="73">
        <v>2421</v>
      </c>
      <c r="G43" s="73">
        <v>2291</v>
      </c>
      <c r="H43" s="73">
        <v>1772</v>
      </c>
      <c r="I43" s="73">
        <v>1661</v>
      </c>
      <c r="J43" s="510"/>
      <c r="K43" s="369" t="s">
        <v>494</v>
      </c>
      <c r="L43" s="665"/>
    </row>
    <row r="44" spans="2:12" s="190" customFormat="1" ht="40.049999999999997" customHeight="1" thickBot="1">
      <c r="B44" s="644"/>
      <c r="C44" s="447" t="s">
        <v>487</v>
      </c>
      <c r="D44" s="311" t="s">
        <v>491</v>
      </c>
      <c r="E44" s="366" t="s">
        <v>437</v>
      </c>
      <c r="F44" s="221">
        <v>18.7</v>
      </c>
      <c r="G44" s="221">
        <v>21.7</v>
      </c>
      <c r="H44" s="221">
        <v>22.5</v>
      </c>
      <c r="I44" s="221">
        <v>25.1</v>
      </c>
      <c r="J44" s="297" t="s">
        <v>21</v>
      </c>
      <c r="K44" s="368" t="s">
        <v>496</v>
      </c>
      <c r="L44" s="312"/>
    </row>
    <row r="45" spans="2:12" s="190" customFormat="1" ht="30" customHeight="1" thickBot="1">
      <c r="B45" s="644"/>
      <c r="C45" s="447" t="s">
        <v>495</v>
      </c>
      <c r="D45" s="367" t="s">
        <v>240</v>
      </c>
      <c r="E45" s="56" t="s">
        <v>1</v>
      </c>
      <c r="F45" s="67">
        <v>2.67</v>
      </c>
      <c r="G45" s="66">
        <v>0.74</v>
      </c>
      <c r="H45" s="66">
        <v>0.8</v>
      </c>
      <c r="I45" s="66">
        <v>0.9</v>
      </c>
      <c r="J45" s="483" t="s">
        <v>21</v>
      </c>
      <c r="K45" s="555" t="s">
        <v>497</v>
      </c>
      <c r="L45" s="663"/>
    </row>
    <row r="46" spans="2:12" s="190" customFormat="1" ht="30" customHeight="1" thickBot="1">
      <c r="B46" s="644"/>
      <c r="C46" s="447" t="s">
        <v>495</v>
      </c>
      <c r="D46" s="363" t="s">
        <v>241</v>
      </c>
      <c r="E46" s="43" t="s">
        <v>1</v>
      </c>
      <c r="F46" s="69">
        <v>2.41</v>
      </c>
      <c r="G46" s="68">
        <v>2.21</v>
      </c>
      <c r="H46" s="68">
        <v>2.2000000000000002</v>
      </c>
      <c r="I46" s="68">
        <v>2.2000000000000002</v>
      </c>
      <c r="J46" s="484"/>
      <c r="K46" s="513"/>
      <c r="L46" s="664"/>
    </row>
    <row r="47" spans="2:12" s="190" customFormat="1" ht="30" customHeight="1" thickBot="1">
      <c r="B47" s="644"/>
      <c r="C47" s="447" t="s">
        <v>495</v>
      </c>
      <c r="D47" s="363" t="s">
        <v>242</v>
      </c>
      <c r="E47" s="43" t="s">
        <v>1</v>
      </c>
      <c r="F47" s="69">
        <v>2.3800000000000003</v>
      </c>
      <c r="G47" s="68">
        <v>1.76</v>
      </c>
      <c r="H47" s="68">
        <v>1.6</v>
      </c>
      <c r="I47" s="68">
        <v>1.4</v>
      </c>
      <c r="J47" s="484"/>
      <c r="K47" s="513"/>
      <c r="L47" s="664"/>
    </row>
    <row r="48" spans="2:12" s="190" customFormat="1" ht="30" customHeight="1" thickBot="1">
      <c r="B48" s="644"/>
      <c r="C48" s="447" t="s">
        <v>495</v>
      </c>
      <c r="D48" s="363" t="s">
        <v>243</v>
      </c>
      <c r="E48" s="43" t="s">
        <v>1</v>
      </c>
      <c r="F48" s="69">
        <v>88.52</v>
      </c>
      <c r="G48" s="68">
        <v>91.01</v>
      </c>
      <c r="H48" s="68">
        <v>90.2</v>
      </c>
      <c r="I48" s="68">
        <v>91.2</v>
      </c>
      <c r="J48" s="484"/>
      <c r="K48" s="513"/>
      <c r="L48" s="664"/>
    </row>
    <row r="49" spans="2:12" s="190" customFormat="1" ht="30" customHeight="1" thickBot="1">
      <c r="B49" s="644"/>
      <c r="C49" s="447" t="s">
        <v>495</v>
      </c>
      <c r="D49" s="364" t="s">
        <v>244</v>
      </c>
      <c r="E49" s="59" t="s">
        <v>1</v>
      </c>
      <c r="F49" s="222">
        <v>4.0199999999999996</v>
      </c>
      <c r="G49" s="70">
        <v>4.21</v>
      </c>
      <c r="H49" s="70">
        <v>4.2</v>
      </c>
      <c r="I49" s="70">
        <v>3.4</v>
      </c>
      <c r="J49" s="461"/>
      <c r="K49" s="574"/>
      <c r="L49" s="676"/>
    </row>
    <row r="50" spans="2:12" s="190" customFormat="1" ht="30" customHeight="1">
      <c r="B50" s="644"/>
      <c r="C50" s="616" t="s">
        <v>502</v>
      </c>
      <c r="D50" s="365" t="s">
        <v>503</v>
      </c>
      <c r="E50" s="357" t="s">
        <v>229</v>
      </c>
      <c r="F50" s="71">
        <v>929</v>
      </c>
      <c r="G50" s="71">
        <v>1066</v>
      </c>
      <c r="H50" s="71">
        <v>1696</v>
      </c>
      <c r="I50" s="71">
        <v>1597</v>
      </c>
      <c r="J50" s="483" t="s">
        <v>20</v>
      </c>
      <c r="K50" s="555" t="s">
        <v>498</v>
      </c>
      <c r="L50" s="663"/>
    </row>
    <row r="51" spans="2:12" s="190" customFormat="1" ht="30" customHeight="1">
      <c r="B51" s="644"/>
      <c r="C51" s="552"/>
      <c r="D51" s="363" t="s">
        <v>504</v>
      </c>
      <c r="E51" s="353" t="s">
        <v>229</v>
      </c>
      <c r="F51" s="72">
        <v>929</v>
      </c>
      <c r="G51" s="72">
        <v>1066</v>
      </c>
      <c r="H51" s="72">
        <v>1696</v>
      </c>
      <c r="I51" s="72">
        <v>1597</v>
      </c>
      <c r="J51" s="484"/>
      <c r="K51" s="513"/>
      <c r="L51" s="664"/>
    </row>
    <row r="52" spans="2:12" s="190" customFormat="1" ht="30" customHeight="1" thickBot="1">
      <c r="B52" s="644"/>
      <c r="C52" s="617"/>
      <c r="D52" s="371" t="s">
        <v>505</v>
      </c>
      <c r="E52" s="355" t="s">
        <v>1</v>
      </c>
      <c r="F52" s="70">
        <v>100</v>
      </c>
      <c r="G52" s="70">
        <v>100</v>
      </c>
      <c r="H52" s="70">
        <v>100</v>
      </c>
      <c r="I52" s="70">
        <v>100</v>
      </c>
      <c r="J52" s="461"/>
      <c r="K52" s="574"/>
      <c r="L52" s="676"/>
    </row>
    <row r="53" spans="2:12" s="190" customFormat="1" ht="38.549999999999997" customHeight="1">
      <c r="B53" s="644"/>
      <c r="C53" s="484" t="s">
        <v>506</v>
      </c>
      <c r="D53" s="282" t="s">
        <v>507</v>
      </c>
      <c r="E53" s="357" t="s">
        <v>229</v>
      </c>
      <c r="F53" s="71">
        <v>0</v>
      </c>
      <c r="G53" s="71">
        <v>0</v>
      </c>
      <c r="H53" s="71">
        <v>0</v>
      </c>
      <c r="I53" s="71">
        <v>0</v>
      </c>
      <c r="J53" s="294" t="s">
        <v>23</v>
      </c>
      <c r="K53" s="344" t="s">
        <v>499</v>
      </c>
      <c r="L53" s="299"/>
    </row>
    <row r="54" spans="2:12" s="190" customFormat="1" ht="42" customHeight="1" thickBot="1">
      <c r="B54" s="644"/>
      <c r="C54" s="624"/>
      <c r="D54" s="306" t="s">
        <v>508</v>
      </c>
      <c r="E54" s="361" t="s">
        <v>229</v>
      </c>
      <c r="F54" s="223">
        <v>14</v>
      </c>
      <c r="G54" s="223">
        <v>15</v>
      </c>
      <c r="H54" s="224">
        <v>12</v>
      </c>
      <c r="I54" s="224">
        <v>9</v>
      </c>
      <c r="J54" s="303" t="s">
        <v>22</v>
      </c>
      <c r="K54" s="370" t="s">
        <v>500</v>
      </c>
      <c r="L54" s="313"/>
    </row>
    <row r="55" spans="2:12" s="190" customFormat="1" ht="30" customHeight="1">
      <c r="B55" s="644"/>
      <c r="C55" s="646" t="s">
        <v>509</v>
      </c>
      <c r="D55" s="372" t="s">
        <v>510</v>
      </c>
      <c r="E55" s="373" t="s">
        <v>229</v>
      </c>
      <c r="F55" s="101">
        <v>80</v>
      </c>
      <c r="G55" s="101">
        <v>85</v>
      </c>
      <c r="H55" s="225">
        <v>90</v>
      </c>
      <c r="I55" s="225">
        <v>78</v>
      </c>
      <c r="J55" s="321" t="s">
        <v>51</v>
      </c>
      <c r="K55" s="680" t="s">
        <v>501</v>
      </c>
      <c r="L55" s="675"/>
    </row>
    <row r="56" spans="2:12" s="190" customFormat="1" ht="30" customHeight="1">
      <c r="B56" s="644"/>
      <c r="C56" s="526"/>
      <c r="D56" s="309" t="s">
        <v>511</v>
      </c>
      <c r="E56" s="353" t="s">
        <v>229</v>
      </c>
      <c r="F56" s="72">
        <v>80</v>
      </c>
      <c r="G56" s="72">
        <v>85</v>
      </c>
      <c r="H56" s="226">
        <v>90</v>
      </c>
      <c r="I56" s="226">
        <v>78</v>
      </c>
      <c r="J56" s="295" t="s">
        <v>52</v>
      </c>
      <c r="K56" s="502"/>
      <c r="L56" s="664"/>
    </row>
    <row r="57" spans="2:12" s="190" customFormat="1" ht="30" customHeight="1">
      <c r="B57" s="644"/>
      <c r="C57" s="526"/>
      <c r="D57" s="309" t="s">
        <v>512</v>
      </c>
      <c r="E57" s="353" t="s">
        <v>229</v>
      </c>
      <c r="F57" s="72">
        <v>80</v>
      </c>
      <c r="G57" s="72">
        <v>85</v>
      </c>
      <c r="H57" s="226">
        <v>90</v>
      </c>
      <c r="I57" s="226">
        <v>78</v>
      </c>
      <c r="J57" s="295" t="s">
        <v>51</v>
      </c>
      <c r="K57" s="502"/>
      <c r="L57" s="664"/>
    </row>
    <row r="58" spans="2:12" s="190" customFormat="1" ht="30" customHeight="1" thickBot="1">
      <c r="B58" s="645"/>
      <c r="C58" s="647"/>
      <c r="D58" s="374" t="s">
        <v>513</v>
      </c>
      <c r="E58" s="375" t="s">
        <v>229</v>
      </c>
      <c r="F58" s="227">
        <v>80</v>
      </c>
      <c r="G58" s="227">
        <v>85</v>
      </c>
      <c r="H58" s="228">
        <v>90</v>
      </c>
      <c r="I58" s="228">
        <v>78</v>
      </c>
      <c r="J58" s="241" t="s">
        <v>50</v>
      </c>
      <c r="K58" s="681"/>
      <c r="L58" s="684"/>
    </row>
    <row r="59" spans="2:12" s="190" customFormat="1" ht="30" customHeight="1">
      <c r="B59" s="638" t="s">
        <v>514</v>
      </c>
      <c r="C59" s="641" t="s">
        <v>515</v>
      </c>
      <c r="D59" s="356" t="s">
        <v>516</v>
      </c>
      <c r="E59" s="357" t="s">
        <v>229</v>
      </c>
      <c r="F59" s="71">
        <v>30</v>
      </c>
      <c r="G59" s="71">
        <v>22</v>
      </c>
      <c r="H59" s="71">
        <v>23</v>
      </c>
      <c r="I59" s="71">
        <v>21</v>
      </c>
      <c r="J59" s="637" t="s">
        <v>97</v>
      </c>
      <c r="K59" s="637"/>
      <c r="L59" s="675"/>
    </row>
    <row r="60" spans="2:12" s="190" customFormat="1" ht="30" customHeight="1">
      <c r="B60" s="639"/>
      <c r="C60" s="524"/>
      <c r="D60" s="351" t="s">
        <v>517</v>
      </c>
      <c r="E60" s="353" t="s">
        <v>455</v>
      </c>
      <c r="F60" s="305">
        <v>8432</v>
      </c>
      <c r="G60" s="305">
        <v>9847</v>
      </c>
      <c r="H60" s="305">
        <v>10917</v>
      </c>
      <c r="I60" s="305">
        <v>10752</v>
      </c>
      <c r="J60" s="484"/>
      <c r="K60" s="484"/>
      <c r="L60" s="664"/>
    </row>
    <row r="61" spans="2:12" s="190" customFormat="1" ht="30" customHeight="1">
      <c r="B61" s="639"/>
      <c r="C61" s="525"/>
      <c r="D61" s="352" t="s">
        <v>518</v>
      </c>
      <c r="E61" s="353" t="s">
        <v>229</v>
      </c>
      <c r="F61" s="72">
        <v>17</v>
      </c>
      <c r="G61" s="72">
        <v>13</v>
      </c>
      <c r="H61" s="72">
        <v>13</v>
      </c>
      <c r="I61" s="72">
        <v>13</v>
      </c>
      <c r="J61" s="484"/>
      <c r="K61" s="484"/>
      <c r="L61" s="664"/>
    </row>
    <row r="62" spans="2:12" s="190" customFormat="1" ht="30" customHeight="1">
      <c r="B62" s="639"/>
      <c r="C62" s="525"/>
      <c r="D62" s="352" t="s">
        <v>519</v>
      </c>
      <c r="E62" s="353" t="s">
        <v>455</v>
      </c>
      <c r="F62" s="72">
        <v>6349</v>
      </c>
      <c r="G62" s="72">
        <v>5893</v>
      </c>
      <c r="H62" s="72">
        <f>3478+2415</f>
        <v>5893</v>
      </c>
      <c r="I62" s="72">
        <v>6138</v>
      </c>
      <c r="J62" s="484"/>
      <c r="K62" s="484"/>
      <c r="L62" s="664"/>
    </row>
    <row r="63" spans="2:12" s="190" customFormat="1" ht="30" customHeight="1">
      <c r="B63" s="639"/>
      <c r="C63" s="525"/>
      <c r="D63" s="352" t="s">
        <v>520</v>
      </c>
      <c r="E63" s="353" t="s">
        <v>229</v>
      </c>
      <c r="F63" s="72">
        <v>13</v>
      </c>
      <c r="G63" s="72">
        <v>9</v>
      </c>
      <c r="H63" s="72">
        <v>10</v>
      </c>
      <c r="I63" s="72">
        <v>8</v>
      </c>
      <c r="J63" s="484"/>
      <c r="K63" s="484"/>
      <c r="L63" s="664"/>
    </row>
    <row r="64" spans="2:12" s="190" customFormat="1" ht="30" customHeight="1">
      <c r="B64" s="639"/>
      <c r="C64" s="525"/>
      <c r="D64" s="352" t="s">
        <v>521</v>
      </c>
      <c r="E64" s="353" t="s">
        <v>455</v>
      </c>
      <c r="F64" s="72">
        <v>2082</v>
      </c>
      <c r="G64" s="72">
        <v>3953</v>
      </c>
      <c r="H64" s="72">
        <v>5023</v>
      </c>
      <c r="I64" s="72">
        <v>4614</v>
      </c>
      <c r="J64" s="484"/>
      <c r="K64" s="484"/>
      <c r="L64" s="664"/>
    </row>
    <row r="65" spans="2:12" s="190" customFormat="1" ht="30" customHeight="1" thickBot="1">
      <c r="B65" s="640"/>
      <c r="C65" s="642"/>
      <c r="D65" s="354" t="s">
        <v>522</v>
      </c>
      <c r="E65" s="355" t="s">
        <v>1</v>
      </c>
      <c r="F65" s="244">
        <f>F61/F59*100</f>
        <v>56.666666666666664</v>
      </c>
      <c r="G65" s="244">
        <f>G61/G59*100</f>
        <v>59.090909090909093</v>
      </c>
      <c r="H65" s="244">
        <f>H61/H59*100</f>
        <v>56.521739130434781</v>
      </c>
      <c r="I65" s="244">
        <f>I61/I59*100</f>
        <v>61.904761904761905</v>
      </c>
      <c r="J65" s="461"/>
      <c r="K65" s="461"/>
      <c r="L65" s="676"/>
    </row>
    <row r="66" spans="2:12" s="190" customFormat="1" ht="30" customHeight="1">
      <c r="B66" s="546" t="s">
        <v>523</v>
      </c>
      <c r="C66" s="619" t="s">
        <v>524</v>
      </c>
      <c r="D66" s="229" t="s">
        <v>525</v>
      </c>
      <c r="E66" s="56" t="s">
        <v>229</v>
      </c>
      <c r="F66" s="249">
        <v>373</v>
      </c>
      <c r="G66" s="77">
        <v>48</v>
      </c>
      <c r="H66" s="77">
        <v>75</v>
      </c>
      <c r="I66" s="77">
        <v>182</v>
      </c>
      <c r="J66" s="507" t="s">
        <v>87</v>
      </c>
      <c r="K66" s="483"/>
      <c r="L66" s="602" t="s">
        <v>569</v>
      </c>
    </row>
    <row r="67" spans="2:12" s="190" customFormat="1" ht="30" customHeight="1">
      <c r="B67" s="547"/>
      <c r="C67" s="538"/>
      <c r="D67" s="196" t="s">
        <v>526</v>
      </c>
      <c r="E67" s="43" t="s">
        <v>229</v>
      </c>
      <c r="F67" s="304"/>
      <c r="G67" s="78">
        <v>578</v>
      </c>
      <c r="H67" s="78">
        <v>706</v>
      </c>
      <c r="I67" s="78">
        <v>390</v>
      </c>
      <c r="J67" s="508"/>
      <c r="K67" s="484"/>
      <c r="L67" s="561"/>
    </row>
    <row r="68" spans="2:12" s="190" customFormat="1" ht="30" customHeight="1">
      <c r="B68" s="547"/>
      <c r="C68" s="538"/>
      <c r="D68" s="196" t="s">
        <v>527</v>
      </c>
      <c r="E68" s="43" t="s">
        <v>229</v>
      </c>
      <c r="F68" s="62" t="s">
        <v>46</v>
      </c>
      <c r="G68" s="78">
        <v>29</v>
      </c>
      <c r="H68" s="78">
        <v>9</v>
      </c>
      <c r="I68" s="78">
        <v>125</v>
      </c>
      <c r="J68" s="508"/>
      <c r="K68" s="484"/>
      <c r="L68" s="561"/>
    </row>
    <row r="69" spans="2:12" s="190" customFormat="1" ht="30" customHeight="1">
      <c r="B69" s="547"/>
      <c r="C69" s="538"/>
      <c r="D69" s="196" t="s">
        <v>533</v>
      </c>
      <c r="E69" s="43" t="s">
        <v>229</v>
      </c>
      <c r="F69" s="62" t="s">
        <v>46</v>
      </c>
      <c r="G69" s="62" t="s">
        <v>46</v>
      </c>
      <c r="H69" s="62" t="s">
        <v>46</v>
      </c>
      <c r="I69" s="78">
        <v>138</v>
      </c>
      <c r="J69" s="508"/>
      <c r="K69" s="484"/>
      <c r="L69" s="561"/>
    </row>
    <row r="70" spans="2:12" s="190" customFormat="1" ht="30" customHeight="1">
      <c r="B70" s="547"/>
      <c r="C70" s="538"/>
      <c r="D70" s="196" t="s">
        <v>528</v>
      </c>
      <c r="E70" s="43" t="s">
        <v>229</v>
      </c>
      <c r="F70" s="78">
        <v>209</v>
      </c>
      <c r="G70" s="78">
        <v>348</v>
      </c>
      <c r="H70" s="78">
        <v>713</v>
      </c>
      <c r="I70" s="78">
        <v>879</v>
      </c>
      <c r="J70" s="508"/>
      <c r="K70" s="484"/>
      <c r="L70" s="561"/>
    </row>
    <row r="71" spans="2:12" s="190" customFormat="1" ht="30" customHeight="1">
      <c r="B71" s="547"/>
      <c r="C71" s="538"/>
      <c r="D71" s="196" t="s">
        <v>529</v>
      </c>
      <c r="E71" s="43" t="s">
        <v>229</v>
      </c>
      <c r="F71" s="78">
        <v>19</v>
      </c>
      <c r="G71" s="78">
        <v>33</v>
      </c>
      <c r="H71" s="78">
        <v>71</v>
      </c>
      <c r="I71" s="78">
        <v>65</v>
      </c>
      <c r="J71" s="508"/>
      <c r="K71" s="484"/>
      <c r="L71" s="561"/>
    </row>
    <row r="72" spans="2:12" s="190" customFormat="1" ht="30" customHeight="1">
      <c r="B72" s="547"/>
      <c r="C72" s="538"/>
      <c r="D72" s="196" t="s">
        <v>530</v>
      </c>
      <c r="E72" s="43" t="s">
        <v>229</v>
      </c>
      <c r="F72" s="78">
        <v>5</v>
      </c>
      <c r="G72" s="78">
        <v>8</v>
      </c>
      <c r="H72" s="78">
        <v>14</v>
      </c>
      <c r="I72" s="78">
        <v>34</v>
      </c>
      <c r="J72" s="508"/>
      <c r="K72" s="484"/>
      <c r="L72" s="561"/>
    </row>
    <row r="73" spans="2:12" s="190" customFormat="1" ht="30" customHeight="1">
      <c r="B73" s="547"/>
      <c r="C73" s="527"/>
      <c r="D73" s="246" t="s">
        <v>531</v>
      </c>
      <c r="E73" s="43" t="s">
        <v>229</v>
      </c>
      <c r="F73" s="242">
        <v>3</v>
      </c>
      <c r="G73" s="242">
        <v>0</v>
      </c>
      <c r="H73" s="242">
        <v>0</v>
      </c>
      <c r="I73" s="242">
        <v>0</v>
      </c>
      <c r="J73" s="508"/>
      <c r="K73" s="484"/>
      <c r="L73" s="561"/>
    </row>
    <row r="74" spans="2:12" s="190" customFormat="1" ht="30" customHeight="1">
      <c r="B74" s="547"/>
      <c r="C74" s="527"/>
      <c r="D74" s="246" t="s">
        <v>534</v>
      </c>
      <c r="E74" s="43" t="s">
        <v>229</v>
      </c>
      <c r="F74" s="269" t="s">
        <v>46</v>
      </c>
      <c r="G74" s="269" t="s">
        <v>46</v>
      </c>
      <c r="H74" s="242">
        <v>0</v>
      </c>
      <c r="I74" s="242">
        <v>3</v>
      </c>
      <c r="J74" s="508"/>
      <c r="K74" s="484"/>
      <c r="L74" s="561"/>
    </row>
    <row r="75" spans="2:12" s="190" customFormat="1" ht="30" customHeight="1">
      <c r="B75" s="547"/>
      <c r="C75" s="539"/>
      <c r="D75" s="198" t="s">
        <v>532</v>
      </c>
      <c r="E75" s="43" t="s">
        <v>229</v>
      </c>
      <c r="F75" s="208">
        <v>0</v>
      </c>
      <c r="G75" s="208">
        <v>0</v>
      </c>
      <c r="H75" s="208">
        <v>0</v>
      </c>
      <c r="I75" s="208">
        <v>0</v>
      </c>
      <c r="J75" s="508"/>
      <c r="K75" s="510"/>
      <c r="L75" s="562"/>
    </row>
    <row r="76" spans="2:12" s="190" customFormat="1" ht="30" customHeight="1">
      <c r="B76" s="547"/>
      <c r="C76" s="537" t="s">
        <v>535</v>
      </c>
      <c r="D76" s="204" t="s">
        <v>536</v>
      </c>
      <c r="E76" s="205" t="s">
        <v>229</v>
      </c>
      <c r="F76" s="247">
        <v>0</v>
      </c>
      <c r="G76" s="206" t="s">
        <v>98</v>
      </c>
      <c r="H76" s="206" t="s">
        <v>98</v>
      </c>
      <c r="I76" s="247">
        <v>191</v>
      </c>
      <c r="J76" s="508"/>
      <c r="K76" s="460"/>
      <c r="L76" s="560" t="s">
        <v>703</v>
      </c>
    </row>
    <row r="77" spans="2:12" s="190" customFormat="1" ht="30" customHeight="1">
      <c r="B77" s="547"/>
      <c r="C77" s="538"/>
      <c r="D77" s="196" t="s">
        <v>537</v>
      </c>
      <c r="E77" s="43" t="s">
        <v>229</v>
      </c>
      <c r="F77" s="78">
        <v>264</v>
      </c>
      <c r="G77" s="78">
        <v>477</v>
      </c>
      <c r="H77" s="78">
        <v>791</v>
      </c>
      <c r="I77" s="78">
        <v>820</v>
      </c>
      <c r="J77" s="508"/>
      <c r="K77" s="484"/>
      <c r="L77" s="561"/>
    </row>
    <row r="78" spans="2:12" s="190" customFormat="1" ht="30" customHeight="1">
      <c r="B78" s="547"/>
      <c r="C78" s="538"/>
      <c r="D78" s="196" t="s">
        <v>538</v>
      </c>
      <c r="E78" s="43" t="s">
        <v>229</v>
      </c>
      <c r="F78" s="78">
        <v>230</v>
      </c>
      <c r="G78" s="78">
        <v>318</v>
      </c>
      <c r="H78" s="78">
        <v>499</v>
      </c>
      <c r="I78" s="78">
        <v>508</v>
      </c>
      <c r="J78" s="508"/>
      <c r="K78" s="484"/>
      <c r="L78" s="561"/>
    </row>
    <row r="79" spans="2:12" s="190" customFormat="1" ht="30" customHeight="1">
      <c r="B79" s="547"/>
      <c r="C79" s="539"/>
      <c r="D79" s="198" t="s">
        <v>539</v>
      </c>
      <c r="E79" s="45" t="s">
        <v>229</v>
      </c>
      <c r="F79" s="208">
        <v>115</v>
      </c>
      <c r="G79" s="208">
        <v>249</v>
      </c>
      <c r="H79" s="208">
        <v>298</v>
      </c>
      <c r="I79" s="208">
        <v>297</v>
      </c>
      <c r="J79" s="508"/>
      <c r="K79" s="510"/>
      <c r="L79" s="562"/>
    </row>
    <row r="80" spans="2:12" s="190" customFormat="1" ht="55.95" customHeight="1">
      <c r="B80" s="547"/>
      <c r="C80" s="462" t="s">
        <v>540</v>
      </c>
      <c r="D80" s="204" t="s">
        <v>541</v>
      </c>
      <c r="E80" s="205" t="s">
        <v>3</v>
      </c>
      <c r="F80" s="625">
        <v>76</v>
      </c>
      <c r="G80" s="625">
        <v>64</v>
      </c>
      <c r="H80" s="627">
        <v>29</v>
      </c>
      <c r="I80" s="247">
        <v>37</v>
      </c>
      <c r="J80" s="508"/>
      <c r="K80" s="460"/>
      <c r="L80" s="560" t="s">
        <v>568</v>
      </c>
    </row>
    <row r="81" spans="2:12" s="190" customFormat="1" ht="55.95" customHeight="1">
      <c r="B81" s="547"/>
      <c r="C81" s="508"/>
      <c r="D81" s="193" t="s">
        <v>542</v>
      </c>
      <c r="E81" s="41" t="s">
        <v>3</v>
      </c>
      <c r="F81" s="626"/>
      <c r="G81" s="626"/>
      <c r="H81" s="628"/>
      <c r="I81" s="304">
        <v>46</v>
      </c>
      <c r="J81" s="508"/>
      <c r="K81" s="484"/>
      <c r="L81" s="561"/>
    </row>
    <row r="82" spans="2:12" s="190" customFormat="1" ht="55.95" customHeight="1">
      <c r="B82" s="547"/>
      <c r="C82" s="508"/>
      <c r="D82" s="193" t="s">
        <v>543</v>
      </c>
      <c r="E82" s="41" t="s">
        <v>3</v>
      </c>
      <c r="F82" s="269" t="s">
        <v>46</v>
      </c>
      <c r="G82" s="269" t="s">
        <v>46</v>
      </c>
      <c r="H82" s="269" t="s">
        <v>46</v>
      </c>
      <c r="I82" s="304">
        <v>9</v>
      </c>
      <c r="J82" s="508"/>
      <c r="K82" s="484"/>
      <c r="L82" s="561"/>
    </row>
    <row r="83" spans="2:12" s="190" customFormat="1" ht="55.95" customHeight="1">
      <c r="B83" s="547"/>
      <c r="C83" s="508"/>
      <c r="D83" s="196" t="s">
        <v>544</v>
      </c>
      <c r="E83" s="43" t="s">
        <v>3</v>
      </c>
      <c r="F83" s="78">
        <v>211</v>
      </c>
      <c r="G83" s="78">
        <v>180</v>
      </c>
      <c r="H83" s="78">
        <v>225</v>
      </c>
      <c r="I83" s="78">
        <v>334</v>
      </c>
      <c r="J83" s="508"/>
      <c r="K83" s="484"/>
      <c r="L83" s="561"/>
    </row>
    <row r="84" spans="2:12" s="190" customFormat="1" ht="55.95" customHeight="1" thickBot="1">
      <c r="B84" s="547"/>
      <c r="C84" s="463"/>
      <c r="D84" s="200" t="s">
        <v>545</v>
      </c>
      <c r="E84" s="59" t="s">
        <v>3</v>
      </c>
      <c r="F84" s="248">
        <v>89</v>
      </c>
      <c r="G84" s="248">
        <v>52</v>
      </c>
      <c r="H84" s="248">
        <v>82</v>
      </c>
      <c r="I84" s="248">
        <v>100</v>
      </c>
      <c r="J84" s="632"/>
      <c r="K84" s="624"/>
      <c r="L84" s="666"/>
    </row>
    <row r="85" spans="2:12" s="190" customFormat="1" ht="30" customHeight="1">
      <c r="B85" s="547"/>
      <c r="C85" s="507" t="s">
        <v>546</v>
      </c>
      <c r="D85" s="90" t="s">
        <v>547</v>
      </c>
      <c r="E85" s="245" t="s">
        <v>229</v>
      </c>
      <c r="F85" s="304">
        <v>3</v>
      </c>
      <c r="G85" s="304">
        <v>8</v>
      </c>
      <c r="H85" s="304">
        <v>8</v>
      </c>
      <c r="I85" s="304">
        <v>12</v>
      </c>
      <c r="J85" s="633" t="s">
        <v>88</v>
      </c>
      <c r="K85" s="667" t="s">
        <v>567</v>
      </c>
      <c r="L85" s="675"/>
    </row>
    <row r="86" spans="2:12" s="190" customFormat="1" ht="30" customHeight="1">
      <c r="B86" s="547"/>
      <c r="C86" s="508"/>
      <c r="D86" s="61" t="s">
        <v>548</v>
      </c>
      <c r="E86" s="261" t="s">
        <v>229</v>
      </c>
      <c r="F86" s="78">
        <v>5</v>
      </c>
      <c r="G86" s="78">
        <v>10</v>
      </c>
      <c r="H86" s="78">
        <v>2</v>
      </c>
      <c r="I86" s="78">
        <v>4</v>
      </c>
      <c r="J86" s="634"/>
      <c r="K86" s="668"/>
      <c r="L86" s="664"/>
    </row>
    <row r="87" spans="2:12" s="190" customFormat="1" ht="30" customHeight="1">
      <c r="B87" s="547"/>
      <c r="C87" s="508"/>
      <c r="D87" s="61" t="s">
        <v>549</v>
      </c>
      <c r="E87" s="261" t="s">
        <v>229</v>
      </c>
      <c r="F87" s="78">
        <v>0</v>
      </c>
      <c r="G87" s="78">
        <v>1</v>
      </c>
      <c r="H87" s="78">
        <v>1</v>
      </c>
      <c r="I87" s="78">
        <v>3</v>
      </c>
      <c r="J87" s="634"/>
      <c r="K87" s="668"/>
      <c r="L87" s="664"/>
    </row>
    <row r="88" spans="2:12" s="190" customFormat="1" ht="30" customHeight="1">
      <c r="B88" s="547"/>
      <c r="C88" s="508"/>
      <c r="D88" s="61" t="s">
        <v>550</v>
      </c>
      <c r="E88" s="261" t="s">
        <v>229</v>
      </c>
      <c r="F88" s="78">
        <v>0</v>
      </c>
      <c r="G88" s="78">
        <v>0</v>
      </c>
      <c r="H88" s="78">
        <v>0</v>
      </c>
      <c r="I88" s="78">
        <v>0</v>
      </c>
      <c r="J88" s="634"/>
      <c r="K88" s="668"/>
      <c r="L88" s="664"/>
    </row>
    <row r="89" spans="2:12" s="190" customFormat="1" ht="30" customHeight="1">
      <c r="B89" s="547"/>
      <c r="C89" s="508"/>
      <c r="D89" s="61" t="s">
        <v>551</v>
      </c>
      <c r="E89" s="261" t="s">
        <v>229</v>
      </c>
      <c r="F89" s="78">
        <v>0</v>
      </c>
      <c r="G89" s="78">
        <v>5</v>
      </c>
      <c r="H89" s="78">
        <v>0</v>
      </c>
      <c r="I89" s="78">
        <v>1</v>
      </c>
      <c r="J89" s="634"/>
      <c r="K89" s="668"/>
      <c r="L89" s="664"/>
    </row>
    <row r="90" spans="2:12" s="190" customFormat="1" ht="30" customHeight="1">
      <c r="B90" s="547"/>
      <c r="C90" s="509"/>
      <c r="D90" s="63" t="s">
        <v>531</v>
      </c>
      <c r="E90" s="141" t="s">
        <v>229</v>
      </c>
      <c r="F90" s="208">
        <v>5</v>
      </c>
      <c r="G90" s="208">
        <v>8</v>
      </c>
      <c r="H90" s="208">
        <v>6</v>
      </c>
      <c r="I90" s="208">
        <v>14</v>
      </c>
      <c r="J90" s="634"/>
      <c r="K90" s="668"/>
      <c r="L90" s="664"/>
    </row>
    <row r="91" spans="2:12" s="190" customFormat="1" ht="30" customHeight="1">
      <c r="B91" s="547"/>
      <c r="C91" s="508" t="s">
        <v>552</v>
      </c>
      <c r="D91" s="90" t="s">
        <v>539</v>
      </c>
      <c r="E91" s="245" t="s">
        <v>229</v>
      </c>
      <c r="F91" s="304">
        <v>1</v>
      </c>
      <c r="G91" s="304">
        <v>8</v>
      </c>
      <c r="H91" s="304">
        <v>3</v>
      </c>
      <c r="I91" s="304">
        <v>6</v>
      </c>
      <c r="J91" s="634"/>
      <c r="K91" s="668"/>
      <c r="L91" s="664"/>
    </row>
    <row r="92" spans="2:12" s="190" customFormat="1" ht="30" customHeight="1">
      <c r="B92" s="547"/>
      <c r="C92" s="508"/>
      <c r="D92" s="61" t="s">
        <v>553</v>
      </c>
      <c r="E92" s="261" t="s">
        <v>229</v>
      </c>
      <c r="F92" s="78">
        <v>4</v>
      </c>
      <c r="G92" s="78">
        <v>3</v>
      </c>
      <c r="H92" s="78">
        <v>3</v>
      </c>
      <c r="I92" s="78">
        <v>11</v>
      </c>
      <c r="J92" s="634"/>
      <c r="K92" s="668"/>
      <c r="L92" s="664"/>
    </row>
    <row r="93" spans="2:12" s="190" customFormat="1" ht="30" customHeight="1">
      <c r="B93" s="547"/>
      <c r="C93" s="508"/>
      <c r="D93" s="61" t="s">
        <v>554</v>
      </c>
      <c r="E93" s="261" t="s">
        <v>229</v>
      </c>
      <c r="F93" s="78">
        <v>7</v>
      </c>
      <c r="G93" s="78">
        <v>14</v>
      </c>
      <c r="H93" s="78">
        <v>9</v>
      </c>
      <c r="I93" s="78">
        <v>14</v>
      </c>
      <c r="J93" s="634"/>
      <c r="K93" s="668"/>
      <c r="L93" s="664"/>
    </row>
    <row r="94" spans="2:12" s="190" customFormat="1" ht="30" customHeight="1">
      <c r="B94" s="547"/>
      <c r="C94" s="508"/>
      <c r="D94" s="61" t="s">
        <v>555</v>
      </c>
      <c r="E94" s="261" t="s">
        <v>229</v>
      </c>
      <c r="F94" s="78">
        <v>1</v>
      </c>
      <c r="G94" s="78">
        <v>7</v>
      </c>
      <c r="H94" s="78">
        <v>1</v>
      </c>
      <c r="I94" s="78">
        <v>0</v>
      </c>
      <c r="J94" s="634"/>
      <c r="K94" s="668"/>
      <c r="L94" s="664"/>
    </row>
    <row r="95" spans="2:12" s="190" customFormat="1" ht="30" customHeight="1">
      <c r="B95" s="547"/>
      <c r="C95" s="509"/>
      <c r="D95" s="63" t="s">
        <v>556</v>
      </c>
      <c r="E95" s="141" t="s">
        <v>229</v>
      </c>
      <c r="F95" s="208">
        <v>0</v>
      </c>
      <c r="G95" s="208">
        <v>0</v>
      </c>
      <c r="H95" s="208">
        <v>1</v>
      </c>
      <c r="I95" s="208">
        <v>3</v>
      </c>
      <c r="J95" s="634"/>
      <c r="K95" s="668"/>
      <c r="L95" s="664"/>
    </row>
    <row r="96" spans="2:12" s="190" customFormat="1" ht="30" customHeight="1">
      <c r="B96" s="547"/>
      <c r="C96" s="462" t="s">
        <v>557</v>
      </c>
      <c r="D96" s="108" t="s">
        <v>558</v>
      </c>
      <c r="E96" s="135" t="s">
        <v>229</v>
      </c>
      <c r="F96" s="247">
        <v>2</v>
      </c>
      <c r="G96" s="247">
        <v>2</v>
      </c>
      <c r="H96" s="247">
        <v>1</v>
      </c>
      <c r="I96" s="247">
        <v>1</v>
      </c>
      <c r="J96" s="634"/>
      <c r="K96" s="668"/>
      <c r="L96" s="664"/>
    </row>
    <row r="97" spans="2:12" s="190" customFormat="1" ht="30" customHeight="1">
      <c r="B97" s="547"/>
      <c r="C97" s="508"/>
      <c r="D97" s="61" t="s">
        <v>559</v>
      </c>
      <c r="E97" s="261" t="s">
        <v>229</v>
      </c>
      <c r="F97" s="78">
        <v>4</v>
      </c>
      <c r="G97" s="78">
        <v>14</v>
      </c>
      <c r="H97" s="78">
        <v>6</v>
      </c>
      <c r="I97" s="78">
        <v>7</v>
      </c>
      <c r="J97" s="634"/>
      <c r="K97" s="668"/>
      <c r="L97" s="664"/>
    </row>
    <row r="98" spans="2:12" s="190" customFormat="1" ht="30" customHeight="1">
      <c r="B98" s="547"/>
      <c r="C98" s="508"/>
      <c r="D98" s="61" t="s">
        <v>545</v>
      </c>
      <c r="E98" s="261" t="s">
        <v>229</v>
      </c>
      <c r="F98" s="78">
        <v>1</v>
      </c>
      <c r="G98" s="78">
        <v>2</v>
      </c>
      <c r="H98" s="78">
        <v>1</v>
      </c>
      <c r="I98" s="78">
        <v>3</v>
      </c>
      <c r="J98" s="634"/>
      <c r="K98" s="668"/>
      <c r="L98" s="664"/>
    </row>
    <row r="99" spans="2:12" s="190" customFormat="1" ht="30" customHeight="1">
      <c r="B99" s="547"/>
      <c r="C99" s="508"/>
      <c r="D99" s="61" t="s">
        <v>560</v>
      </c>
      <c r="E99" s="261" t="s">
        <v>229</v>
      </c>
      <c r="F99" s="78">
        <v>1</v>
      </c>
      <c r="G99" s="78">
        <v>0</v>
      </c>
      <c r="H99" s="78">
        <v>0</v>
      </c>
      <c r="I99" s="78">
        <v>0</v>
      </c>
      <c r="J99" s="634"/>
      <c r="K99" s="668"/>
      <c r="L99" s="664"/>
    </row>
    <row r="100" spans="2:12" s="190" customFormat="1" ht="30" customHeight="1" thickBot="1">
      <c r="B100" s="548"/>
      <c r="C100" s="463"/>
      <c r="D100" s="58" t="s">
        <v>531</v>
      </c>
      <c r="E100" s="262" t="s">
        <v>229</v>
      </c>
      <c r="F100" s="248">
        <v>5</v>
      </c>
      <c r="G100" s="248">
        <v>14</v>
      </c>
      <c r="H100" s="248">
        <v>8</v>
      </c>
      <c r="I100" s="248">
        <v>0</v>
      </c>
      <c r="J100" s="635"/>
      <c r="K100" s="669"/>
      <c r="L100" s="676"/>
    </row>
    <row r="101" spans="2:12" s="190" customFormat="1" ht="30" customHeight="1">
      <c r="B101" s="648" t="s">
        <v>561</v>
      </c>
      <c r="C101" s="619" t="s">
        <v>562</v>
      </c>
      <c r="D101" s="229" t="s">
        <v>563</v>
      </c>
      <c r="E101" s="65" t="s">
        <v>411</v>
      </c>
      <c r="F101" s="305">
        <v>55169</v>
      </c>
      <c r="G101" s="305">
        <v>50978</v>
      </c>
      <c r="H101" s="305">
        <v>50239</v>
      </c>
      <c r="I101" s="305">
        <v>55517</v>
      </c>
      <c r="J101" s="528" t="s">
        <v>25</v>
      </c>
      <c r="K101" s="528"/>
      <c r="L101" s="677"/>
    </row>
    <row r="102" spans="2:12" s="190" customFormat="1" ht="30" customHeight="1">
      <c r="B102" s="649"/>
      <c r="C102" s="538"/>
      <c r="D102" s="196" t="s">
        <v>564</v>
      </c>
      <c r="E102" s="43" t="s">
        <v>565</v>
      </c>
      <c r="F102" s="72">
        <v>0</v>
      </c>
      <c r="G102" s="72">
        <v>0</v>
      </c>
      <c r="H102" s="72">
        <v>0</v>
      </c>
      <c r="I102" s="72">
        <v>0</v>
      </c>
      <c r="J102" s="538"/>
      <c r="K102" s="538"/>
      <c r="L102" s="678"/>
    </row>
    <row r="103" spans="2:12" s="190" customFormat="1" ht="30" customHeight="1" thickBot="1">
      <c r="B103" s="650"/>
      <c r="C103" s="620"/>
      <c r="D103" s="296" t="s">
        <v>566</v>
      </c>
      <c r="E103" s="59" t="s">
        <v>565</v>
      </c>
      <c r="F103" s="153">
        <v>0</v>
      </c>
      <c r="G103" s="153">
        <v>0</v>
      </c>
      <c r="H103" s="153">
        <v>0</v>
      </c>
      <c r="I103" s="153">
        <v>0</v>
      </c>
      <c r="J103" s="620"/>
      <c r="K103" s="620"/>
      <c r="L103" s="679"/>
    </row>
    <row r="104" spans="2:12" s="190" customFormat="1" ht="26.4" customHeight="1">
      <c r="B104" s="636" t="s">
        <v>570</v>
      </c>
      <c r="C104" s="636"/>
      <c r="D104" s="636"/>
      <c r="E104" s="636"/>
      <c r="F104" s="636"/>
      <c r="G104" s="636"/>
      <c r="H104" s="636"/>
      <c r="I104" s="636"/>
      <c r="J104" s="636"/>
      <c r="K104" s="191"/>
      <c r="L104" s="191"/>
    </row>
  </sheetData>
  <mergeCells count="68">
    <mergeCell ref="L85:L100"/>
    <mergeCell ref="L50:L52"/>
    <mergeCell ref="L101:L103"/>
    <mergeCell ref="K32:K33"/>
    <mergeCell ref="K45:K49"/>
    <mergeCell ref="K50:K52"/>
    <mergeCell ref="K59:K65"/>
    <mergeCell ref="K101:K103"/>
    <mergeCell ref="K55:K58"/>
    <mergeCell ref="L32:L33"/>
    <mergeCell ref="L41:L43"/>
    <mergeCell ref="L45:L49"/>
    <mergeCell ref="L55:L58"/>
    <mergeCell ref="L59:L65"/>
    <mergeCell ref="L66:L75"/>
    <mergeCell ref="L76:L79"/>
    <mergeCell ref="K85:K100"/>
    <mergeCell ref="B8:B20"/>
    <mergeCell ref="J21:J26"/>
    <mergeCell ref="J32:J33"/>
    <mergeCell ref="J27:J30"/>
    <mergeCell ref="B31:B36"/>
    <mergeCell ref="J8:J18"/>
    <mergeCell ref="J19:J20"/>
    <mergeCell ref="B21:B26"/>
    <mergeCell ref="B27:B30"/>
    <mergeCell ref="L27:L30"/>
    <mergeCell ref="K27:K30"/>
    <mergeCell ref="L37:L39"/>
    <mergeCell ref="L80:L84"/>
    <mergeCell ref="K37:K39"/>
    <mergeCell ref="L8:L18"/>
    <mergeCell ref="L19:L20"/>
    <mergeCell ref="L21:L26"/>
    <mergeCell ref="K8:K18"/>
    <mergeCell ref="K19:K20"/>
    <mergeCell ref="K21:K26"/>
    <mergeCell ref="B104:J104"/>
    <mergeCell ref="J101:J103"/>
    <mergeCell ref="J50:J52"/>
    <mergeCell ref="J45:J49"/>
    <mergeCell ref="J59:J65"/>
    <mergeCell ref="B59:B65"/>
    <mergeCell ref="C59:C65"/>
    <mergeCell ref="B41:B58"/>
    <mergeCell ref="C50:C52"/>
    <mergeCell ref="C53:C54"/>
    <mergeCell ref="C55:C58"/>
    <mergeCell ref="J41:J43"/>
    <mergeCell ref="B101:B103"/>
    <mergeCell ref="C101:C103"/>
    <mergeCell ref="B37:B40"/>
    <mergeCell ref="B66:B100"/>
    <mergeCell ref="C66:C75"/>
    <mergeCell ref="J66:J84"/>
    <mergeCell ref="C85:C90"/>
    <mergeCell ref="C91:C95"/>
    <mergeCell ref="C96:C100"/>
    <mergeCell ref="J85:J100"/>
    <mergeCell ref="J37:J39"/>
    <mergeCell ref="K66:K75"/>
    <mergeCell ref="C76:C79"/>
    <mergeCell ref="K76:K79"/>
    <mergeCell ref="C80:C84"/>
    <mergeCell ref="K80:K84"/>
    <mergeCell ref="F80:F81"/>
    <mergeCell ref="G80:G81"/>
    <mergeCell ref="H80:H81"/>
  </mergeCells>
  <phoneticPr fontId="6" type="noConversion"/>
  <conditionalFormatting sqref="F19:I52 F19:H65 G53:I54 F68:I80 I81:I82 F83:I103">
    <cfRule type="cellIs" dxfId="3" priority="7" operator="lessThan">
      <formula>0</formula>
    </cfRule>
  </conditionalFormatting>
  <conditionalFormatting sqref="F55:I66 F82:H82">
    <cfRule type="cellIs" dxfId="2" priority="2" operator="lessThan">
      <formula>0</formula>
    </cfRule>
  </conditionalFormatting>
  <conditionalFormatting sqref="G67:I67 F67:F70 F69:H69">
    <cfRule type="cellIs" dxfId="1" priority="4" operator="lessThan">
      <formula>0</formula>
    </cfRule>
  </conditionalFormatting>
  <conditionalFormatting sqref="I65">
    <cfRule type="cellIs" dxfId="0" priority="1" operator="lessThan">
      <formula>0</formula>
    </cfRule>
  </conditionalFormatting>
  <printOptions horizontalCentered="1"/>
  <pageMargins left="0.23622047244094491" right="0.23622047244094491" top="0.35433070866141736" bottom="0.35433070866141736" header="0.31496062992125984" footer="0.31496062992125984"/>
  <pageSetup paperSize="9" scale="4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D3B3-34DD-4E4E-88D3-F5752ACC6BC0}">
  <dimension ref="B7:I28"/>
  <sheetViews>
    <sheetView showGridLines="0" topLeftCell="B20" workbookViewId="0"/>
  </sheetViews>
  <sheetFormatPr defaultRowHeight="13.2"/>
  <cols>
    <col min="1" max="1" width="2.6640625" customWidth="1"/>
    <col min="2" max="2" width="52.21875" customWidth="1"/>
    <col min="3" max="9" width="14.6640625" customWidth="1"/>
  </cols>
  <sheetData>
    <row r="7" spans="2:9" ht="13.8" thickBot="1"/>
    <row r="8" spans="2:9" s="1" customFormat="1" ht="30" customHeight="1" thickBot="1">
      <c r="B8" s="688" t="s">
        <v>571</v>
      </c>
      <c r="C8" s="689"/>
      <c r="D8" s="689"/>
      <c r="E8" s="689"/>
      <c r="F8" s="689"/>
      <c r="G8" s="689"/>
      <c r="H8" s="690"/>
      <c r="I8" s="691"/>
    </row>
    <row r="9" spans="2:9" s="443" customFormat="1" ht="30" customHeight="1" thickBot="1">
      <c r="B9" s="27"/>
      <c r="C9" s="28" t="s">
        <v>572</v>
      </c>
      <c r="D9" s="28" t="s">
        <v>573</v>
      </c>
      <c r="E9" s="28" t="s">
        <v>574</v>
      </c>
      <c r="F9" s="28" t="s">
        <v>575</v>
      </c>
      <c r="G9" s="28" t="s">
        <v>576</v>
      </c>
      <c r="H9" s="28" t="s">
        <v>577</v>
      </c>
      <c r="I9" s="29" t="s">
        <v>578</v>
      </c>
    </row>
    <row r="10" spans="2:9" s="443" customFormat="1" ht="30" customHeight="1">
      <c r="B10" s="376" t="s">
        <v>579</v>
      </c>
      <c r="C10" s="30">
        <v>194337.41200000001</v>
      </c>
      <c r="D10" s="30">
        <v>3285.0970000000002</v>
      </c>
      <c r="E10" s="30">
        <v>20.46</v>
      </c>
      <c r="F10" s="30">
        <v>836.13499999999999</v>
      </c>
      <c r="G10" s="30">
        <v>4386.7669999999998</v>
      </c>
      <c r="H10" s="30">
        <v>700.60400000000004</v>
      </c>
      <c r="I10" s="31">
        <v>8.2249999999999996</v>
      </c>
    </row>
    <row r="11" spans="2:9" s="443" customFormat="1" ht="30" customHeight="1">
      <c r="B11" s="377" t="s">
        <v>580</v>
      </c>
      <c r="C11" s="32">
        <v>-151474.57199999999</v>
      </c>
      <c r="D11" s="32">
        <v>-1826.5409999999999</v>
      </c>
      <c r="E11" s="33">
        <v>0</v>
      </c>
      <c r="F11" s="32">
        <v>-628.62900000000002</v>
      </c>
      <c r="G11" s="32">
        <v>-2076.1869999999999</v>
      </c>
      <c r="H11" s="32">
        <v>-428.47300000000001</v>
      </c>
      <c r="I11" s="34">
        <v>-4.5999999999999999E-2</v>
      </c>
    </row>
    <row r="12" spans="2:9" s="443" customFormat="1" ht="30" customHeight="1">
      <c r="B12" s="377" t="s">
        <v>439</v>
      </c>
      <c r="C12" s="32">
        <v>42862.84</v>
      </c>
      <c r="D12" s="32">
        <v>1458.556</v>
      </c>
      <c r="E12" s="32">
        <v>20.46</v>
      </c>
      <c r="F12" s="32">
        <v>207.506</v>
      </c>
      <c r="G12" s="32">
        <v>2310.58</v>
      </c>
      <c r="H12" s="32">
        <v>272.13099999999997</v>
      </c>
      <c r="I12" s="35">
        <v>8.1790000000000003</v>
      </c>
    </row>
    <row r="13" spans="2:9" s="443" customFormat="1" ht="30" customHeight="1">
      <c r="B13" s="377" t="s">
        <v>440</v>
      </c>
      <c r="C13" s="32">
        <v>11523.234</v>
      </c>
      <c r="D13" s="32">
        <v>0</v>
      </c>
      <c r="E13" s="32">
        <v>0.307</v>
      </c>
      <c r="F13" s="32">
        <v>24.047000000000001</v>
      </c>
      <c r="G13" s="32">
        <v>0</v>
      </c>
      <c r="H13" s="32">
        <v>0</v>
      </c>
      <c r="I13" s="35">
        <v>0</v>
      </c>
    </row>
    <row r="14" spans="2:9" s="443" customFormat="1" ht="30" customHeight="1">
      <c r="B14" s="377" t="s">
        <v>581</v>
      </c>
      <c r="C14" s="32">
        <v>28878.014999999999</v>
      </c>
      <c r="D14" s="32">
        <v>301.67200000000003</v>
      </c>
      <c r="E14" s="32">
        <v>0</v>
      </c>
      <c r="F14" s="32">
        <v>536.94500000000005</v>
      </c>
      <c r="G14" s="32">
        <v>31.744</v>
      </c>
      <c r="H14" s="32">
        <v>2.6720000000000002</v>
      </c>
      <c r="I14" s="35">
        <v>34.960999999999999</v>
      </c>
    </row>
    <row r="15" spans="2:9" s="443" customFormat="1" ht="30" customHeight="1">
      <c r="B15" s="377" t="s">
        <v>582</v>
      </c>
      <c r="C15" s="32">
        <v>-23747.528999999999</v>
      </c>
      <c r="D15" s="32">
        <v>-411.54700000000003</v>
      </c>
      <c r="E15" s="36">
        <v>-0.49</v>
      </c>
      <c r="F15" s="32">
        <v>-78.602999999999994</v>
      </c>
      <c r="G15" s="36">
        <v>-13.428000000000001</v>
      </c>
      <c r="H15" s="32">
        <v>-85.292000000000002</v>
      </c>
      <c r="I15" s="34">
        <v>-20.725000000000001</v>
      </c>
    </row>
    <row r="16" spans="2:9" s="443" customFormat="1" ht="30" customHeight="1">
      <c r="B16" s="377" t="s">
        <v>583</v>
      </c>
      <c r="C16" s="32">
        <v>-21915.543000000001</v>
      </c>
      <c r="D16" s="32">
        <v>-294.93599999999998</v>
      </c>
      <c r="E16" s="36">
        <v>-2.2490000000000001</v>
      </c>
      <c r="F16" s="32">
        <v>-279.97199999999998</v>
      </c>
      <c r="G16" s="32">
        <v>-62.415999999999997</v>
      </c>
      <c r="H16" s="32">
        <v>-59.472000000000001</v>
      </c>
      <c r="I16" s="35">
        <v>-18.952999999999999</v>
      </c>
    </row>
    <row r="17" spans="2:9" s="443" customFormat="1" ht="30" customHeight="1">
      <c r="B17" s="377" t="s">
        <v>584</v>
      </c>
      <c r="C17" s="32">
        <v>-6861.7240000000002</v>
      </c>
      <c r="D17" s="32">
        <v>-2.4430000000000001</v>
      </c>
      <c r="E17" s="36">
        <v>-0.245</v>
      </c>
      <c r="F17" s="32">
        <v>-2.3940000000000001</v>
      </c>
      <c r="G17" s="32">
        <v>0</v>
      </c>
      <c r="H17" s="32">
        <v>-8.1530000000000005</v>
      </c>
      <c r="I17" s="37">
        <v>0</v>
      </c>
    </row>
    <row r="18" spans="2:9" s="443" customFormat="1" ht="30" customHeight="1">
      <c r="B18" s="377" t="s">
        <v>585</v>
      </c>
      <c r="C18" s="32">
        <v>1241.3050000000001</v>
      </c>
      <c r="D18" s="32">
        <v>13.632</v>
      </c>
      <c r="E18" s="36">
        <v>0</v>
      </c>
      <c r="F18" s="32">
        <v>-35.405000000000001</v>
      </c>
      <c r="G18" s="32">
        <v>2.9590000000000001</v>
      </c>
      <c r="H18" s="32">
        <v>0</v>
      </c>
      <c r="I18" s="37">
        <v>0</v>
      </c>
    </row>
    <row r="19" spans="2:9" s="443" customFormat="1" ht="30" customHeight="1">
      <c r="B19" s="377" t="s">
        <v>586</v>
      </c>
      <c r="C19" s="32">
        <v>-16005.375</v>
      </c>
      <c r="D19" s="32">
        <v>-95.334999999999994</v>
      </c>
      <c r="E19" s="36">
        <v>-6.484</v>
      </c>
      <c r="F19" s="32">
        <v>-280.20400000000001</v>
      </c>
      <c r="G19" s="32">
        <v>-241.29499999999999</v>
      </c>
      <c r="H19" s="32">
        <v>5.9320000000000004</v>
      </c>
      <c r="I19" s="34">
        <v>1.583</v>
      </c>
    </row>
    <row r="20" spans="2:9" s="443" customFormat="1" ht="30" customHeight="1">
      <c r="B20" s="377" t="s">
        <v>587</v>
      </c>
      <c r="C20" s="32">
        <v>15975.223</v>
      </c>
      <c r="D20" s="32">
        <v>969.59900000000005</v>
      </c>
      <c r="E20" s="36">
        <v>11.298999999999999</v>
      </c>
      <c r="F20" s="32">
        <v>91.92</v>
      </c>
      <c r="G20" s="32">
        <v>2028.144</v>
      </c>
      <c r="H20" s="32">
        <v>127.818</v>
      </c>
      <c r="I20" s="34">
        <v>5.0449999999999999</v>
      </c>
    </row>
    <row r="21" spans="2:9" s="443" customFormat="1" ht="30" customHeight="1" thickBot="1">
      <c r="B21" s="378" t="s">
        <v>588</v>
      </c>
      <c r="C21" s="38">
        <v>83285</v>
      </c>
      <c r="D21" s="39">
        <v>319</v>
      </c>
      <c r="E21" s="39">
        <v>1</v>
      </c>
      <c r="F21" s="39">
        <v>309</v>
      </c>
      <c r="G21" s="39">
        <v>18</v>
      </c>
      <c r="H21" s="39">
        <v>73</v>
      </c>
      <c r="I21" s="40">
        <v>17</v>
      </c>
    </row>
    <row r="22" spans="2:9" s="443" customFormat="1" ht="13.05" customHeight="1">
      <c r="B22" s="692" t="s">
        <v>589</v>
      </c>
      <c r="C22" s="693"/>
      <c r="D22" s="693"/>
      <c r="E22" s="693"/>
      <c r="F22" s="693"/>
      <c r="G22" s="693"/>
      <c r="H22" s="693"/>
      <c r="I22" s="694"/>
    </row>
    <row r="23" spans="2:9" s="443" customFormat="1">
      <c r="B23" s="685" t="s">
        <v>590</v>
      </c>
      <c r="C23" s="686"/>
      <c r="D23" s="686"/>
      <c r="E23" s="686"/>
      <c r="F23" s="686"/>
      <c r="G23" s="686"/>
      <c r="H23" s="686"/>
      <c r="I23" s="687"/>
    </row>
    <row r="24" spans="2:9" s="443" customFormat="1" ht="13.05" customHeight="1">
      <c r="B24" s="685" t="s">
        <v>591</v>
      </c>
      <c r="C24" s="686"/>
      <c r="D24" s="686"/>
      <c r="E24" s="686"/>
      <c r="F24" s="686"/>
      <c r="G24" s="686"/>
      <c r="H24" s="686"/>
      <c r="I24" s="687"/>
    </row>
    <row r="25" spans="2:9" s="443" customFormat="1" ht="13.05" customHeight="1">
      <c r="B25" s="685" t="s">
        <v>592</v>
      </c>
      <c r="C25" s="686"/>
      <c r="D25" s="686"/>
      <c r="E25" s="686"/>
      <c r="F25" s="686"/>
      <c r="G25" s="686"/>
      <c r="H25" s="686"/>
      <c r="I25" s="687"/>
    </row>
    <row r="26" spans="2:9" s="443" customFormat="1">
      <c r="B26" s="685" t="s">
        <v>593</v>
      </c>
      <c r="C26" s="686"/>
      <c r="D26" s="686"/>
      <c r="E26" s="686"/>
      <c r="F26" s="686"/>
      <c r="G26" s="686"/>
      <c r="H26" s="686"/>
      <c r="I26" s="687"/>
    </row>
    <row r="27" spans="2:9" s="443" customFormat="1" ht="13.05" customHeight="1">
      <c r="B27" s="685" t="s">
        <v>594</v>
      </c>
      <c r="C27" s="686"/>
      <c r="D27" s="686"/>
      <c r="E27" s="686"/>
      <c r="F27" s="686"/>
      <c r="G27" s="686"/>
      <c r="H27" s="686"/>
      <c r="I27" s="687"/>
    </row>
    <row r="28" spans="2:9" s="443" customFormat="1" ht="13.05" customHeight="1">
      <c r="B28" s="685" t="s">
        <v>595</v>
      </c>
      <c r="C28" s="686"/>
      <c r="D28" s="686"/>
      <c r="E28" s="686"/>
      <c r="F28" s="686"/>
      <c r="G28" s="686"/>
      <c r="H28" s="686"/>
      <c r="I28" s="687"/>
    </row>
  </sheetData>
  <mergeCells count="8">
    <mergeCell ref="B27:I27"/>
    <mergeCell ref="B28:I28"/>
    <mergeCell ref="B8:I8"/>
    <mergeCell ref="B22:I22"/>
    <mergeCell ref="B23:I23"/>
    <mergeCell ref="B24:I24"/>
    <mergeCell ref="B25:I25"/>
    <mergeCell ref="B26:I26"/>
  </mergeCells>
  <printOptions horizontalCentered="1"/>
  <pageMargins left="0.23622047244094491" right="0.23622047244094491" top="0.35433070866141736" bottom="0.35433070866141736" header="0.31496062992125984" footer="0.31496062992125984"/>
  <pageSetup paperSize="9" scale="4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1F30-E8A0-40AC-98B7-2A5E005CDE70}">
  <sheetPr>
    <tabColor theme="0" tint="-4.9989318521683403E-2"/>
  </sheetPr>
  <dimension ref="B1:E28"/>
  <sheetViews>
    <sheetView showGridLines="0" topLeftCell="A14" zoomScaleNormal="100" workbookViewId="0">
      <selection activeCell="E15" sqref="E15:E18"/>
    </sheetView>
  </sheetViews>
  <sheetFormatPr defaultColWidth="8.6640625" defaultRowHeight="13.2"/>
  <cols>
    <col min="1" max="1" width="2.6640625" customWidth="1"/>
    <col min="2" max="2" width="12.33203125" customWidth="1"/>
    <col min="3" max="3" width="45.88671875" style="4" customWidth="1"/>
    <col min="4" max="5" width="38.21875" style="4" customWidth="1"/>
  </cols>
  <sheetData>
    <row r="1" spans="2:5" ht="12.9" customHeight="1"/>
    <row r="2" spans="2:5" ht="12.9" customHeight="1"/>
    <row r="3" spans="2:5" ht="12.9" customHeight="1"/>
    <row r="4" spans="2:5" ht="12.9" customHeight="1"/>
    <row r="5" spans="2:5" ht="12.9" customHeight="1"/>
    <row r="6" spans="2:5" ht="12.9" customHeight="1"/>
    <row r="7" spans="2:5" s="5" customFormat="1" ht="19.95" customHeight="1" thickBot="1">
      <c r="B7" s="379" t="s">
        <v>596</v>
      </c>
      <c r="C7" s="380" t="s">
        <v>597</v>
      </c>
      <c r="D7" s="380" t="s">
        <v>598</v>
      </c>
      <c r="E7" s="380" t="s">
        <v>599</v>
      </c>
    </row>
    <row r="8" spans="2:5" ht="52.8">
      <c r="B8" s="695"/>
      <c r="C8" s="381" t="s">
        <v>600</v>
      </c>
      <c r="D8" s="697" t="s">
        <v>693</v>
      </c>
      <c r="E8" s="699" t="s">
        <v>698</v>
      </c>
    </row>
    <row r="9" spans="2:5" ht="66.599999999999994" thickBot="1">
      <c r="B9" s="696"/>
      <c r="C9" s="9" t="s">
        <v>601</v>
      </c>
      <c r="D9" s="698"/>
      <c r="E9" s="700"/>
    </row>
    <row r="10" spans="2:5" ht="26.4">
      <c r="B10" s="695"/>
      <c r="C10" s="10" t="s">
        <v>602</v>
      </c>
      <c r="D10" s="702" t="s">
        <v>695</v>
      </c>
      <c r="E10" s="705" t="s">
        <v>694</v>
      </c>
    </row>
    <row r="11" spans="2:5" ht="52.8">
      <c r="B11" s="701"/>
      <c r="C11" s="11" t="s">
        <v>603</v>
      </c>
      <c r="D11" s="703"/>
      <c r="E11" s="706"/>
    </row>
    <row r="12" spans="2:5" ht="66">
      <c r="B12" s="701"/>
      <c r="C12" s="11" t="s">
        <v>604</v>
      </c>
      <c r="D12" s="703"/>
      <c r="E12" s="706"/>
    </row>
    <row r="13" spans="2:5" ht="39.6">
      <c r="B13" s="701"/>
      <c r="C13" s="11" t="s">
        <v>605</v>
      </c>
      <c r="D13" s="703"/>
      <c r="E13" s="706"/>
    </row>
    <row r="14" spans="2:5" ht="53.4" thickBot="1">
      <c r="B14" s="696"/>
      <c r="C14" s="9" t="s">
        <v>606</v>
      </c>
      <c r="D14" s="704"/>
      <c r="E14" s="707"/>
    </row>
    <row r="15" spans="2:5" ht="79.2">
      <c r="B15" s="695"/>
      <c r="C15" s="10" t="s">
        <v>607</v>
      </c>
      <c r="D15" s="702" t="s">
        <v>713</v>
      </c>
      <c r="E15" s="702" t="s">
        <v>699</v>
      </c>
    </row>
    <row r="16" spans="2:5" ht="92.4">
      <c r="B16" s="701"/>
      <c r="C16" s="11" t="s">
        <v>608</v>
      </c>
      <c r="D16" s="703"/>
      <c r="E16" s="703"/>
    </row>
    <row r="17" spans="2:5" ht="79.2">
      <c r="B17" s="701"/>
      <c r="C17" s="11" t="s">
        <v>609</v>
      </c>
      <c r="D17" s="703"/>
      <c r="E17" s="703"/>
    </row>
    <row r="18" spans="2:5" ht="40.200000000000003" thickBot="1">
      <c r="B18" s="696"/>
      <c r="C18" s="9" t="s">
        <v>610</v>
      </c>
      <c r="D18" s="704"/>
      <c r="E18" s="704"/>
    </row>
    <row r="19" spans="2:5" ht="66">
      <c r="B19" s="695"/>
      <c r="C19" s="10" t="s">
        <v>611</v>
      </c>
      <c r="D19" s="702" t="s">
        <v>700</v>
      </c>
      <c r="E19" s="702" t="s">
        <v>701</v>
      </c>
    </row>
    <row r="20" spans="2:5" ht="93" thickBot="1">
      <c r="B20" s="696"/>
      <c r="C20" s="9" t="s">
        <v>612</v>
      </c>
      <c r="D20" s="704"/>
      <c r="E20" s="704"/>
    </row>
    <row r="21" spans="2:5" ht="52.8">
      <c r="B21" s="695"/>
      <c r="C21" s="10" t="s">
        <v>613</v>
      </c>
      <c r="D21" s="702" t="s">
        <v>697</v>
      </c>
      <c r="E21" s="702" t="s">
        <v>702</v>
      </c>
    </row>
    <row r="22" spans="2:5" ht="39.6">
      <c r="B22" s="701"/>
      <c r="C22" s="11" t="s">
        <v>614</v>
      </c>
      <c r="D22" s="703"/>
      <c r="E22" s="703"/>
    </row>
    <row r="23" spans="2:5" ht="40.200000000000003" thickBot="1">
      <c r="B23" s="696"/>
      <c r="C23" s="9" t="s">
        <v>615</v>
      </c>
      <c r="D23" s="704"/>
      <c r="E23" s="704"/>
    </row>
    <row r="24" spans="2:5" ht="39.6">
      <c r="B24" s="695"/>
      <c r="C24" s="10" t="s">
        <v>616</v>
      </c>
      <c r="D24" s="705" t="s">
        <v>696</v>
      </c>
      <c r="E24" s="705" t="s">
        <v>672</v>
      </c>
    </row>
    <row r="25" spans="2:5" ht="26.4">
      <c r="B25" s="701"/>
      <c r="C25" s="11" t="s">
        <v>617</v>
      </c>
      <c r="D25" s="706"/>
      <c r="E25" s="706"/>
    </row>
    <row r="26" spans="2:5" ht="52.8">
      <c r="B26" s="701"/>
      <c r="C26" s="11" t="s">
        <v>618</v>
      </c>
      <c r="D26" s="706"/>
      <c r="E26" s="706"/>
    </row>
    <row r="27" spans="2:5" ht="79.8" thickBot="1">
      <c r="B27" s="708"/>
      <c r="C27" s="12" t="s">
        <v>619</v>
      </c>
      <c r="D27" s="709"/>
      <c r="E27" s="709"/>
    </row>
    <row r="28" spans="2:5">
      <c r="B28" s="6"/>
      <c r="C28" s="7"/>
      <c r="D28" s="7"/>
      <c r="E28" s="7"/>
    </row>
  </sheetData>
  <mergeCells count="18">
    <mergeCell ref="B21:B23"/>
    <mergeCell ref="D21:D23"/>
    <mergeCell ref="E21:E23"/>
    <mergeCell ref="B24:B27"/>
    <mergeCell ref="D24:D27"/>
    <mergeCell ref="E24:E27"/>
    <mergeCell ref="B15:B18"/>
    <mergeCell ref="D15:D18"/>
    <mergeCell ref="E15:E18"/>
    <mergeCell ref="B19:B20"/>
    <mergeCell ref="D19:D20"/>
    <mergeCell ref="E19:E20"/>
    <mergeCell ref="B8:B9"/>
    <mergeCell ref="D8:D9"/>
    <mergeCell ref="E8:E9"/>
    <mergeCell ref="B10:B14"/>
    <mergeCell ref="D10:D14"/>
    <mergeCell ref="E10:E14"/>
  </mergeCells>
  <printOptions horizontalCentered="1"/>
  <pageMargins left="0.23622047244094491" right="0.23622047244094491" top="0.35433070866141736" bottom="0.35433070866141736" header="0.31496062992125984" footer="0.31496062992125984"/>
  <pageSetup paperSize="9" scale="40" fitToHeight="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1C74A-B3D4-46CA-AE8D-8E21C6E13E13}">
  <sheetPr>
    <tabColor theme="0" tint="-4.9989318521683403E-2"/>
  </sheetPr>
  <dimension ref="A1:I33"/>
  <sheetViews>
    <sheetView showGridLines="0" zoomScaleNormal="100" workbookViewId="0"/>
  </sheetViews>
  <sheetFormatPr defaultColWidth="9.21875" defaultRowHeight="13.2"/>
  <cols>
    <col min="1" max="1" width="2.6640625" style="7" customWidth="1"/>
    <col min="2" max="2" width="16.21875" style="7" customWidth="1"/>
    <col min="3" max="3" width="37" style="7" customWidth="1"/>
    <col min="4" max="4" width="1.44140625" style="7" customWidth="1"/>
    <col min="5" max="5" width="22.88671875" style="7" customWidth="1"/>
    <col min="6" max="6" width="1.33203125" style="7" customWidth="1"/>
    <col min="7" max="7" width="40.33203125" style="7" customWidth="1"/>
    <col min="8" max="8" width="41.109375" style="7" customWidth="1"/>
    <col min="9" max="16384" width="9.21875" style="7"/>
  </cols>
  <sheetData>
    <row r="1" spans="1:9" ht="12.9" customHeight="1"/>
    <row r="2" spans="1:9" ht="17.399999999999999">
      <c r="C2" s="714" t="s">
        <v>620</v>
      </c>
      <c r="D2" s="714"/>
      <c r="E2" s="714"/>
      <c r="F2" s="714"/>
      <c r="G2" s="714"/>
      <c r="H2" s="714"/>
    </row>
    <row r="3" spans="1:9" ht="12.9" customHeight="1">
      <c r="C3" s="715" t="s">
        <v>53</v>
      </c>
      <c r="D3" s="715"/>
      <c r="E3" s="715"/>
      <c r="F3" s="715"/>
      <c r="G3" s="715"/>
      <c r="H3" s="715"/>
    </row>
    <row r="4" spans="1:9" ht="12.9" customHeight="1">
      <c r="C4" s="715"/>
      <c r="D4" s="715"/>
      <c r="E4" s="715"/>
      <c r="F4" s="715"/>
      <c r="G4" s="715"/>
      <c r="H4" s="715"/>
    </row>
    <row r="5" spans="1:9" ht="15" customHeight="1"/>
    <row r="6" spans="1:9" ht="5.0999999999999996" customHeight="1" thickBot="1"/>
    <row r="7" spans="1:9" ht="21.6" customHeight="1" thickBot="1">
      <c r="A7" s="8"/>
      <c r="B7" s="382" t="s">
        <v>102</v>
      </c>
      <c r="C7" s="26" t="s">
        <v>105</v>
      </c>
      <c r="D7" s="234"/>
      <c r="E7" s="26" t="s">
        <v>621</v>
      </c>
      <c r="F7" s="26"/>
      <c r="G7" s="380" t="s">
        <v>598</v>
      </c>
      <c r="H7" s="380" t="s">
        <v>599</v>
      </c>
      <c r="I7" s="8"/>
    </row>
    <row r="8" spans="1:9" s="237" customFormat="1" ht="21.6" customHeight="1">
      <c r="A8" s="235"/>
      <c r="B8" s="236"/>
      <c r="C8" s="236"/>
      <c r="D8" s="236"/>
      <c r="E8" s="236"/>
      <c r="F8" s="236"/>
      <c r="G8" s="236"/>
      <c r="H8" s="236"/>
      <c r="I8" s="235"/>
    </row>
    <row r="9" spans="1:9" s="8" customFormat="1" ht="20.100000000000001" customHeight="1">
      <c r="B9" s="716" t="s">
        <v>622</v>
      </c>
      <c r="C9" s="716"/>
      <c r="D9" s="716"/>
      <c r="E9" s="716"/>
      <c r="F9" s="716"/>
      <c r="G9" s="716"/>
      <c r="H9" s="716"/>
    </row>
    <row r="10" spans="1:9" ht="92.4">
      <c r="B10" s="314" t="s">
        <v>623</v>
      </c>
      <c r="C10" s="383" t="s">
        <v>624</v>
      </c>
      <c r="D10" s="230"/>
      <c r="E10" s="230" t="s">
        <v>84</v>
      </c>
      <c r="F10" s="230"/>
      <c r="G10" s="230" t="s">
        <v>658</v>
      </c>
      <c r="H10" s="230" t="s">
        <v>659</v>
      </c>
      <c r="I10" s="231"/>
    </row>
    <row r="11" spans="1:9" ht="171.6">
      <c r="B11" s="315" t="s">
        <v>625</v>
      </c>
      <c r="C11" s="384" t="s">
        <v>626</v>
      </c>
      <c r="D11" s="232"/>
      <c r="E11" s="232" t="s">
        <v>85</v>
      </c>
      <c r="F11" s="232"/>
      <c r="G11" s="232" t="s">
        <v>660</v>
      </c>
      <c r="H11" s="232" t="s">
        <v>661</v>
      </c>
      <c r="I11" s="231"/>
    </row>
    <row r="12" spans="1:9" s="8" customFormat="1" ht="66">
      <c r="A12" s="7"/>
      <c r="B12" s="315" t="s">
        <v>627</v>
      </c>
      <c r="C12" s="384" t="s">
        <v>628</v>
      </c>
      <c r="D12" s="232"/>
      <c r="E12" s="232" t="s">
        <v>73</v>
      </c>
      <c r="F12" s="232"/>
      <c r="G12" s="232" t="s">
        <v>662</v>
      </c>
      <c r="H12" s="232" t="s">
        <v>663</v>
      </c>
      <c r="I12" s="191"/>
    </row>
    <row r="13" spans="1:9" ht="171.6">
      <c r="B13" s="712" t="s">
        <v>629</v>
      </c>
      <c r="C13" s="384" t="s">
        <v>630</v>
      </c>
      <c r="D13" s="232"/>
      <c r="E13" s="232" t="s">
        <v>99</v>
      </c>
      <c r="F13" s="232"/>
      <c r="G13" s="232" t="s">
        <v>664</v>
      </c>
      <c r="H13" s="232" t="s">
        <v>665</v>
      </c>
      <c r="I13" s="231"/>
    </row>
    <row r="14" spans="1:9" ht="105.6">
      <c r="B14" s="712"/>
      <c r="C14" s="384" t="s">
        <v>631</v>
      </c>
      <c r="D14" s="232"/>
      <c r="E14" s="232" t="s">
        <v>74</v>
      </c>
      <c r="F14" s="232"/>
      <c r="G14" s="232" t="s">
        <v>666</v>
      </c>
      <c r="H14" s="232" t="s">
        <v>667</v>
      </c>
      <c r="I14" s="231"/>
    </row>
    <row r="15" spans="1:9" ht="184.8">
      <c r="B15" s="385" t="s">
        <v>632</v>
      </c>
      <c r="C15" s="386" t="s">
        <v>633</v>
      </c>
      <c r="D15" s="233"/>
      <c r="E15" s="233" t="s">
        <v>75</v>
      </c>
      <c r="F15" s="233"/>
      <c r="G15" s="233" t="s">
        <v>669</v>
      </c>
      <c r="H15" s="233" t="s">
        <v>668</v>
      </c>
      <c r="I15" s="231"/>
    </row>
    <row r="16" spans="1:9" s="8" customFormat="1" ht="20.100000000000001" customHeight="1">
      <c r="B16" s="710" t="s">
        <v>634</v>
      </c>
      <c r="C16" s="710"/>
      <c r="D16" s="710"/>
      <c r="E16" s="710"/>
      <c r="F16" s="710"/>
      <c r="G16" s="710"/>
      <c r="H16" s="710"/>
    </row>
    <row r="17" spans="2:8" ht="118.8">
      <c r="B17" s="711" t="s">
        <v>635</v>
      </c>
      <c r="C17" s="230" t="s">
        <v>636</v>
      </c>
      <c r="D17" s="230"/>
      <c r="E17" s="230" t="s">
        <v>654</v>
      </c>
      <c r="F17" s="230"/>
      <c r="G17" s="230" t="s">
        <v>673</v>
      </c>
      <c r="H17" s="230" t="s">
        <v>674</v>
      </c>
    </row>
    <row r="18" spans="2:8" ht="132">
      <c r="B18" s="717"/>
      <c r="C18" s="233" t="s">
        <v>637</v>
      </c>
      <c r="D18" s="233"/>
      <c r="E18" s="233" t="s">
        <v>655</v>
      </c>
      <c r="F18" s="233"/>
      <c r="G18" s="233" t="s">
        <v>670</v>
      </c>
      <c r="H18" s="233" t="s">
        <v>671</v>
      </c>
    </row>
    <row r="19" spans="2:8" s="238" customFormat="1">
      <c r="B19" s="239"/>
      <c r="C19" s="240"/>
      <c r="D19" s="240"/>
      <c r="E19" s="240"/>
      <c r="F19" s="240"/>
      <c r="G19" s="240"/>
      <c r="H19" s="240"/>
    </row>
    <row r="20" spans="2:8" s="8" customFormat="1" ht="20.100000000000001" customHeight="1">
      <c r="B20" s="710" t="s">
        <v>235</v>
      </c>
      <c r="C20" s="710"/>
      <c r="D20" s="710"/>
      <c r="E20" s="710"/>
      <c r="F20" s="710"/>
      <c r="G20" s="710"/>
      <c r="H20" s="710"/>
    </row>
    <row r="21" spans="2:8" ht="5.0999999999999996" customHeight="1"/>
    <row r="22" spans="2:8" ht="132">
      <c r="B22" s="711" t="s">
        <v>638</v>
      </c>
      <c r="C22" s="230" t="s">
        <v>639</v>
      </c>
      <c r="D22" s="230"/>
      <c r="E22" s="230" t="s">
        <v>76</v>
      </c>
      <c r="F22" s="230"/>
      <c r="G22" s="230" t="s">
        <v>675</v>
      </c>
      <c r="H22" s="230" t="s">
        <v>677</v>
      </c>
    </row>
    <row r="23" spans="2:8" ht="39.6">
      <c r="B23" s="712"/>
      <c r="C23" s="232" t="s">
        <v>640</v>
      </c>
      <c r="D23" s="232"/>
      <c r="E23" s="232" t="s">
        <v>77</v>
      </c>
      <c r="F23" s="232"/>
      <c r="G23" s="232" t="s">
        <v>676</v>
      </c>
      <c r="H23" s="232" t="s">
        <v>678</v>
      </c>
    </row>
    <row r="24" spans="2:8" ht="66">
      <c r="B24" s="712"/>
      <c r="C24" s="232" t="s">
        <v>641</v>
      </c>
      <c r="D24" s="232"/>
      <c r="E24" s="232" t="s">
        <v>78</v>
      </c>
      <c r="F24" s="232"/>
      <c r="G24" s="232" t="s">
        <v>680</v>
      </c>
      <c r="H24" s="232" t="s">
        <v>679</v>
      </c>
    </row>
    <row r="25" spans="2:8" ht="145.19999999999999">
      <c r="B25" s="712"/>
      <c r="C25" s="232" t="s">
        <v>642</v>
      </c>
      <c r="D25" s="232"/>
      <c r="E25" s="232" t="s">
        <v>79</v>
      </c>
      <c r="F25" s="232"/>
      <c r="G25" s="232" t="s">
        <v>681</v>
      </c>
      <c r="H25" s="232" t="s">
        <v>682</v>
      </c>
    </row>
    <row r="26" spans="2:8" ht="158.4">
      <c r="B26" s="315" t="s">
        <v>643</v>
      </c>
      <c r="C26" s="232" t="s">
        <v>644</v>
      </c>
      <c r="D26" s="232"/>
      <c r="E26" s="232" t="s">
        <v>80</v>
      </c>
      <c r="F26" s="232"/>
      <c r="G26" s="232" t="s">
        <v>683</v>
      </c>
      <c r="H26" s="232" t="s">
        <v>684</v>
      </c>
    </row>
    <row r="27" spans="2:8" ht="60" customHeight="1">
      <c r="B27" s="13" t="s">
        <v>645</v>
      </c>
      <c r="C27" s="233" t="s">
        <v>646</v>
      </c>
      <c r="D27" s="233"/>
      <c r="E27" s="233" t="s">
        <v>81</v>
      </c>
      <c r="F27" s="233"/>
      <c r="G27" s="233" t="s">
        <v>685</v>
      </c>
      <c r="H27" s="233" t="s">
        <v>686</v>
      </c>
    </row>
    <row r="28" spans="2:8" s="8" customFormat="1" ht="20.100000000000001" customHeight="1">
      <c r="B28" s="710" t="s">
        <v>647</v>
      </c>
      <c r="C28" s="710"/>
      <c r="D28" s="710"/>
      <c r="E28" s="710"/>
      <c r="F28" s="710"/>
      <c r="G28" s="710"/>
      <c r="H28" s="710"/>
    </row>
    <row r="29" spans="2:8" ht="5.0999999999999996" customHeight="1"/>
    <row r="30" spans="2:8" ht="92.4">
      <c r="B30" s="713" t="s">
        <v>648</v>
      </c>
      <c r="C30" s="230" t="s">
        <v>649</v>
      </c>
      <c r="D30" s="230"/>
      <c r="E30" s="230" t="s">
        <v>82</v>
      </c>
      <c r="F30" s="230"/>
      <c r="G30" s="230" t="s">
        <v>687</v>
      </c>
      <c r="H30" s="230" t="s">
        <v>688</v>
      </c>
    </row>
    <row r="31" spans="2:8" ht="250.8">
      <c r="B31" s="713"/>
      <c r="C31" s="232" t="s">
        <v>650</v>
      </c>
      <c r="D31" s="232"/>
      <c r="E31" s="232" t="s">
        <v>83</v>
      </c>
      <c r="F31" s="232"/>
      <c r="G31" s="232" t="s">
        <v>689</v>
      </c>
      <c r="H31" s="232" t="s">
        <v>690</v>
      </c>
    </row>
    <row r="32" spans="2:8" ht="118.8">
      <c r="B32" s="711"/>
      <c r="C32" s="232" t="s">
        <v>651</v>
      </c>
      <c r="D32" s="232"/>
      <c r="E32" s="232" t="s">
        <v>656</v>
      </c>
      <c r="F32" s="232"/>
      <c r="G32" s="232" t="s">
        <v>691</v>
      </c>
      <c r="H32" s="232"/>
    </row>
    <row r="33" spans="2:8" ht="92.4">
      <c r="B33" s="13" t="s">
        <v>652</v>
      </c>
      <c r="C33" s="233" t="s">
        <v>653</v>
      </c>
      <c r="D33" s="233"/>
      <c r="E33" s="233" t="s">
        <v>657</v>
      </c>
      <c r="F33" s="233"/>
      <c r="G33" s="233" t="s">
        <v>692</v>
      </c>
      <c r="H33" s="233"/>
    </row>
  </sheetData>
  <mergeCells count="10">
    <mergeCell ref="B20:H20"/>
    <mergeCell ref="B22:B25"/>
    <mergeCell ref="B28:H28"/>
    <mergeCell ref="B30:B32"/>
    <mergeCell ref="C2:H2"/>
    <mergeCell ref="C3:H4"/>
    <mergeCell ref="B9:H9"/>
    <mergeCell ref="B13:B14"/>
    <mergeCell ref="B16:H16"/>
    <mergeCell ref="B17:B18"/>
  </mergeCells>
  <printOptions horizontalCentered="1"/>
  <pageMargins left="0.23622047244094491" right="0.23622047244094491" top="0.35433070866141736" bottom="0.35433070866141736" header="0.31496062992125984" footer="0.31496062992125984"/>
  <pageSetup paperSize="9" scale="40" fitToHeight="4" orientation="landscape" r:id="rId1"/>
  <rowBreaks count="2" manualBreakCount="2">
    <brk id="19" max="16383" man="1"/>
    <brk id="2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Home</vt:lpstr>
      <vt:lpstr>Environmental</vt:lpstr>
      <vt:lpstr>Social</vt:lpstr>
      <vt:lpstr>Governance</vt:lpstr>
      <vt:lpstr>P&amp;L by Country</vt:lpstr>
      <vt:lpstr>SDG</vt:lpstr>
      <vt:lpstr>Stakeholders</vt:lpstr>
      <vt:lpstr>Environmental!OLE_LINK11</vt:lpstr>
      <vt:lpstr>Environmental!Print_Titles</vt:lpstr>
      <vt:lpstr>Governance!Print_Titles</vt:lpstr>
      <vt:lpstr>'P&amp;L by Country'!Print_Titles</vt:lpstr>
      <vt:lpstr>SDG!Print_Titles</vt:lpstr>
      <vt:lpstr>Social!Print_Titles</vt:lpstr>
      <vt:lpstr>Stakeholders!Print_Titles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helpdesk</dc:creator>
  <cp:lastModifiedBy>Thơ Nguyễn</cp:lastModifiedBy>
  <cp:lastPrinted>2024-06-07T17:42:37Z</cp:lastPrinted>
  <dcterms:created xsi:type="dcterms:W3CDTF">2022-03-17T13:44:57Z</dcterms:created>
  <dcterms:modified xsi:type="dcterms:W3CDTF">2025-12-10T22:48:27Z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fed9c9-9e02-402c-91c6-79672c367b2e_Enabled">
    <vt:lpwstr>true</vt:lpwstr>
  </property>
  <property fmtid="{D5CDD505-2E9C-101B-9397-08002B2CF9AE}" pid="3" name="MSIP_Label_d3fed9c9-9e02-402c-91c6-79672c367b2e_SetDate">
    <vt:lpwstr>2022-03-22T12:33:41Z</vt:lpwstr>
  </property>
  <property fmtid="{D5CDD505-2E9C-101B-9397-08002B2CF9AE}" pid="4" name="MSIP_Label_d3fed9c9-9e02-402c-91c6-79672c367b2e_Method">
    <vt:lpwstr>Standard</vt:lpwstr>
  </property>
  <property fmtid="{D5CDD505-2E9C-101B-9397-08002B2CF9AE}" pid="5" name="MSIP_Label_d3fed9c9-9e02-402c-91c6-79672c367b2e_Name">
    <vt:lpwstr>d3fed9c9-9e02-402c-91c6-79672c367b2e</vt:lpwstr>
  </property>
  <property fmtid="{D5CDD505-2E9C-101B-9397-08002B2CF9AE}" pid="6" name="MSIP_Label_d3fed9c9-9e02-402c-91c6-79672c367b2e_SiteId">
    <vt:lpwstr>ccd25372-eb59-436a-ad74-78a49d784cf3</vt:lpwstr>
  </property>
  <property fmtid="{D5CDD505-2E9C-101B-9397-08002B2CF9AE}" pid="7" name="MSIP_Label_d3fed9c9-9e02-402c-91c6-79672c367b2e_ActionId">
    <vt:lpwstr>65d03497-6037-4a12-8d0d-aa7884332c50</vt:lpwstr>
  </property>
  <property fmtid="{D5CDD505-2E9C-101B-9397-08002B2CF9AE}" pid="8" name="MSIP_Label_d3fed9c9-9e02-402c-91c6-79672c367b2e_ContentBits">
    <vt:lpwstr>0</vt:lpwstr>
  </property>
</Properties>
</file>