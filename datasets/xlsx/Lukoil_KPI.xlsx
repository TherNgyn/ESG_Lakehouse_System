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24226"/>
  <mc:AlternateContent xmlns:mc="http://schemas.openxmlformats.org/markup-compatibility/2006">
    <mc:Choice Requires="x15">
      <x15ac:absPath xmlns:x15ac="http://schemas.microsoft.com/office/spreadsheetml/2010/11/ac" url="C:\Users\terekhovaon\Desktop\ОУР 24\ESG BOOK\"/>
    </mc:Choice>
  </mc:AlternateContent>
  <xr:revisionPtr revIDLastSave="0" documentId="13_ncr:1_{473F47D5-604C-4757-9525-D340D69A55E9}" xr6:coauthVersionLast="36" xr6:coauthVersionMax="47" xr10:uidLastSave="{00000000-0000-0000-0000-000000000000}"/>
  <bookViews>
    <workbookView xWindow="3975" yWindow="495" windowWidth="24825" windowHeight="15405" tabRatio="708" firstSheet="2" activeTab="2" xr2:uid="{00000000-000D-0000-FFFF-FFFF00000000}"/>
  </bookViews>
  <sheets>
    <sheet name="index" sheetId="25" r:id="rId1"/>
    <sheet name="Climate" sheetId="31" r:id="rId2"/>
    <sheet name="Energy" sheetId="12" r:id="rId3"/>
    <sheet name="IMS" sheetId="13" r:id="rId4"/>
    <sheet name="Water " sheetId="19" r:id="rId5"/>
    <sheet name="Emissions " sheetId="20" r:id="rId6"/>
    <sheet name="Land and waste" sheetId="32" r:id="rId7"/>
    <sheet name="Industrial safety" sheetId="14" r:id="rId8"/>
    <sheet name="Occupational safety" sheetId="27" r:id="rId9"/>
    <sheet name="Employees" sheetId="7" r:id="rId10"/>
    <sheet name="Corp. governance" sheetId="1" r:id="rId11"/>
  </sheets>
  <definedNames>
    <definedName name="OLE_LINK5" localSheetId="1">Climate!#REF!</definedName>
    <definedName name="_xlnm.Print_Area" localSheetId="1">Climate!$A$1:$F$87</definedName>
    <definedName name="_xlnm.Print_Area" localSheetId="6">'Land and waste'!$A$1:$F$92</definedName>
  </definedNames>
  <calcPr calcId="191029"/>
</workbook>
</file>

<file path=xl/calcChain.xml><?xml version="1.0" encoding="utf-8"?>
<calcChain xmlns="http://schemas.openxmlformats.org/spreadsheetml/2006/main">
  <c r="G94" i="7" l="1"/>
  <c r="F94" i="7"/>
  <c r="E94" i="7"/>
  <c r="D94" i="7"/>
  <c r="C94" i="7"/>
  <c r="G92" i="7"/>
  <c r="F92" i="7"/>
  <c r="E92" i="7"/>
  <c r="D92" i="7"/>
  <c r="C92" i="7"/>
  <c r="F90" i="7"/>
  <c r="E90" i="7"/>
  <c r="D90" i="7"/>
  <c r="C90" i="7"/>
  <c r="G89" i="7"/>
  <c r="G90" i="7" s="1"/>
  <c r="G88" i="7"/>
  <c r="F88" i="7"/>
  <c r="E88" i="7"/>
  <c r="D88" i="7"/>
  <c r="C88" i="7"/>
  <c r="G86" i="7"/>
  <c r="F86" i="7"/>
  <c r="E86" i="7"/>
  <c r="D86" i="7"/>
  <c r="C86" i="7"/>
  <c r="F84" i="7"/>
  <c r="E84" i="7"/>
  <c r="D84" i="7"/>
  <c r="C84" i="7"/>
  <c r="G83" i="7"/>
  <c r="G84" i="7" s="1"/>
  <c r="G48" i="7"/>
  <c r="F48" i="7"/>
  <c r="E48" i="7"/>
  <c r="D48" i="7"/>
  <c r="C48" i="7"/>
  <c r="G45" i="7"/>
  <c r="F45" i="7"/>
  <c r="E45" i="7"/>
  <c r="D45" i="7"/>
  <c r="C45" i="7"/>
  <c r="G42" i="7"/>
  <c r="G41" i="7"/>
  <c r="F40" i="7"/>
  <c r="F44" i="7" s="1"/>
  <c r="E40" i="7"/>
  <c r="E44" i="7" s="1"/>
  <c r="D40" i="7"/>
  <c r="D44" i="7" s="1"/>
  <c r="C40" i="7"/>
  <c r="C44" i="7" s="1"/>
  <c r="G60" i="32"/>
  <c r="F60" i="32"/>
  <c r="E60" i="32"/>
  <c r="G70" i="19"/>
  <c r="F70" i="19"/>
  <c r="E70" i="19"/>
  <c r="D70" i="19"/>
  <c r="C70" i="19"/>
  <c r="G67" i="19"/>
  <c r="F67" i="19"/>
  <c r="E67" i="19"/>
  <c r="D67" i="19"/>
  <c r="C67" i="19"/>
  <c r="G64" i="19"/>
  <c r="F64" i="19"/>
  <c r="E64" i="19"/>
  <c r="D64" i="19"/>
  <c r="C64" i="19"/>
  <c r="G56" i="19"/>
  <c r="F56" i="19"/>
  <c r="E56" i="19"/>
  <c r="D56" i="19"/>
  <c r="D52" i="19" s="1"/>
  <c r="C56" i="19"/>
  <c r="G53" i="19"/>
  <c r="G52" i="19" s="1"/>
  <c r="F53" i="19"/>
  <c r="F52" i="19" s="1"/>
  <c r="E53" i="19"/>
  <c r="E52" i="19" s="1"/>
  <c r="D53" i="19"/>
  <c r="C53" i="19"/>
  <c r="C52" i="19"/>
  <c r="G46" i="19"/>
  <c r="F46" i="19"/>
  <c r="E46" i="19"/>
  <c r="D46" i="19"/>
  <c r="C46" i="19"/>
  <c r="G37" i="19"/>
  <c r="F37" i="19"/>
  <c r="F12" i="19" s="1"/>
  <c r="E37" i="19"/>
  <c r="E12" i="19" s="1"/>
  <c r="D37" i="19"/>
  <c r="C37" i="19"/>
  <c r="C12" i="19" s="1"/>
  <c r="G34" i="19"/>
  <c r="G30" i="19" s="1"/>
  <c r="F34" i="19"/>
  <c r="E34" i="19"/>
  <c r="D34" i="19"/>
  <c r="C34" i="19"/>
  <c r="G31" i="19"/>
  <c r="F31" i="19"/>
  <c r="F30" i="19" s="1"/>
  <c r="E31" i="19"/>
  <c r="D31" i="19"/>
  <c r="D30" i="19" s="1"/>
  <c r="C31" i="19"/>
  <c r="C30" i="19"/>
  <c r="G27" i="19"/>
  <c r="G8" i="19" s="1"/>
  <c r="G15" i="19" s="1"/>
  <c r="F27" i="19"/>
  <c r="F8" i="19" s="1"/>
  <c r="F15" i="19" s="1"/>
  <c r="E27" i="19"/>
  <c r="D27" i="19"/>
  <c r="C27" i="19"/>
  <c r="G24" i="19"/>
  <c r="F24" i="19"/>
  <c r="E24" i="19"/>
  <c r="D24" i="19"/>
  <c r="C24" i="19"/>
  <c r="C23" i="19" s="1"/>
  <c r="C4" i="19" s="1"/>
  <c r="C13" i="19" s="1"/>
  <c r="F23" i="19"/>
  <c r="D12" i="19"/>
  <c r="E15" i="19"/>
  <c r="D15" i="19"/>
  <c r="C15" i="19"/>
  <c r="E14" i="19"/>
  <c r="D14" i="19"/>
  <c r="C14" i="19"/>
  <c r="G12" i="19"/>
  <c r="G11" i="19"/>
  <c r="F11" i="19"/>
  <c r="E11" i="19"/>
  <c r="D11" i="19"/>
  <c r="C11" i="19"/>
  <c r="G10" i="19"/>
  <c r="F10" i="19"/>
  <c r="E10" i="19"/>
  <c r="D10" i="19"/>
  <c r="C10" i="19"/>
  <c r="G38" i="13"/>
  <c r="D38" i="13"/>
  <c r="G30" i="13"/>
  <c r="F30" i="13"/>
  <c r="E30" i="13"/>
  <c r="D30" i="13"/>
  <c r="C30" i="13"/>
  <c r="E24" i="13"/>
  <c r="E18" i="13" s="1"/>
  <c r="D24" i="13"/>
  <c r="C24" i="13"/>
  <c r="G21" i="13"/>
  <c r="G18" i="13" s="1"/>
  <c r="F21" i="13"/>
  <c r="F18" i="13" s="1"/>
  <c r="E21" i="13"/>
  <c r="D21" i="13"/>
  <c r="D18" i="13" s="1"/>
  <c r="C21" i="13"/>
  <c r="G116" i="12"/>
  <c r="F116" i="12"/>
  <c r="G85" i="12"/>
  <c r="E83" i="12"/>
  <c r="D83" i="12"/>
  <c r="E82" i="12"/>
  <c r="D82" i="12"/>
  <c r="F76" i="12"/>
  <c r="F85" i="12" s="1"/>
  <c r="E76" i="12"/>
  <c r="E85" i="12" s="1"/>
  <c r="D76" i="12"/>
  <c r="D85" i="12" s="1"/>
  <c r="C76" i="12"/>
  <c r="C85" i="12" s="1"/>
  <c r="G48" i="12"/>
  <c r="G47" i="12" s="1"/>
  <c r="F48" i="12"/>
  <c r="F47" i="12"/>
  <c r="G44" i="12"/>
  <c r="F44" i="12"/>
  <c r="G29" i="12"/>
  <c r="F29" i="12"/>
  <c r="G18" i="12"/>
  <c r="F18" i="12"/>
  <c r="G9" i="12"/>
  <c r="F9" i="12"/>
  <c r="E28" i="31"/>
  <c r="E31" i="31" s="1"/>
  <c r="D28" i="31"/>
  <c r="D31" i="31" s="1"/>
  <c r="C28" i="31"/>
  <c r="C31" i="31" s="1"/>
  <c r="D23" i="19" l="1"/>
  <c r="G23" i="19"/>
  <c r="G4" i="19" s="1"/>
  <c r="G13" i="19" s="1"/>
  <c r="G6" i="19"/>
  <c r="G14" i="19" s="1"/>
  <c r="E23" i="19"/>
  <c r="E49" i="31"/>
  <c r="E30" i="19"/>
  <c r="C18" i="13"/>
  <c r="C43" i="7"/>
  <c r="F43" i="7"/>
  <c r="G40" i="7"/>
  <c r="G43" i="7" s="1"/>
  <c r="D43" i="7"/>
  <c r="E43" i="7"/>
  <c r="D4" i="19"/>
  <c r="D13" i="19" s="1"/>
  <c r="E4" i="19"/>
  <c r="F4" i="19"/>
  <c r="F13" i="19" s="1"/>
  <c r="E13" i="19"/>
  <c r="F6" i="19"/>
  <c r="F14" i="19" s="1"/>
  <c r="F8" i="12"/>
  <c r="F32" i="12" s="1"/>
  <c r="G8" i="12"/>
  <c r="G32" i="12" s="1"/>
  <c r="C49" i="31"/>
  <c r="D49" i="31"/>
  <c r="G44" i="7" l="1"/>
  <c r="H90" i="32"/>
</calcChain>
</file>

<file path=xl/sharedStrings.xml><?xml version="1.0" encoding="utf-8"?>
<sst xmlns="http://schemas.openxmlformats.org/spreadsheetml/2006/main" count="2571" uniqueCount="855">
  <si>
    <t xml:space="preserve">           </t>
  </si>
  <si>
    <t xml:space="preserve"> ESG Databook 2024</t>
  </si>
  <si>
    <t>Contents</t>
  </si>
  <si>
    <t>Climate</t>
  </si>
  <si>
    <t>Greenhouse gases</t>
  </si>
  <si>
    <t>Energy</t>
  </si>
  <si>
    <t>Health, safety and environment</t>
  </si>
  <si>
    <t xml:space="preserve">Water </t>
  </si>
  <si>
    <t xml:space="preserve">Emissions </t>
  </si>
  <si>
    <t xml:space="preserve">Land and waste </t>
  </si>
  <si>
    <t>Industrial safety</t>
  </si>
  <si>
    <t>Social</t>
  </si>
  <si>
    <t>Occupational safety</t>
  </si>
  <si>
    <t>Employees details</t>
  </si>
  <si>
    <t xml:space="preserve">Governance </t>
  </si>
  <si>
    <t>Corporate governance</t>
  </si>
  <si>
    <t>The ESG Databook should be read in conjunction with the Sustainability Report.</t>
  </si>
  <si>
    <r>
      <rPr>
        <b/>
        <sz val="14"/>
        <color theme="1"/>
        <rFont val="Calibri"/>
        <family val="2"/>
        <charset val="204"/>
        <scheme val="minor"/>
      </rPr>
      <t>The Independent Practitioner JSC Kept issued Limited Assurance Report on Sustainability Report 2024.</t>
    </r>
  </si>
  <si>
    <t>The aggregate values of the ESG Databook indicators may differ insignificantly from the sum of indicators as a result of rounding (not more than by 1).</t>
  </si>
  <si>
    <t>The ESG Databook discloses indicators according to multiple reporting systems. The corresponding reporting systems are indicated for the respective indicators.</t>
  </si>
  <si>
    <t>Reporting system and initiative designations used:</t>
  </si>
  <si>
    <t>GRI</t>
  </si>
  <si>
    <t>Global Reporting Initiative</t>
  </si>
  <si>
    <t>SASB</t>
  </si>
  <si>
    <t>Sustainability Accounting Standards Board</t>
  </si>
  <si>
    <t>IPIECA</t>
  </si>
  <si>
    <t>International Petroleum Industry Environmental Conservation Association</t>
  </si>
  <si>
    <t>BPIs</t>
  </si>
  <si>
    <t xml:space="preserve">Basic Performance Indicators </t>
  </si>
  <si>
    <t>UNCTAD</t>
  </si>
  <si>
    <t>United Nations Conference on Trade and Development</t>
  </si>
  <si>
    <t>ZRF initiative</t>
  </si>
  <si>
    <t>Zero Routine Flaring by 2030</t>
  </si>
  <si>
    <t>OGDC Initiative</t>
  </si>
  <si>
    <t>Oil &amp; Gas Decarbonization Charter</t>
  </si>
  <si>
    <t>MED No.</t>
  </si>
  <si>
    <t>List of the key (basic) indicators of sustainability reporting of the Russian Ministry of Economic Development (indicator No.)</t>
  </si>
  <si>
    <t>Other abbreviations</t>
  </si>
  <si>
    <t>OPS</t>
  </si>
  <si>
    <t>oil product supply</t>
  </si>
  <si>
    <t>GHG</t>
  </si>
  <si>
    <t>greenhouse gases</t>
  </si>
  <si>
    <t>APG</t>
  </si>
  <si>
    <t>associated petroleum gas</t>
  </si>
  <si>
    <t xml:space="preserve"> </t>
  </si>
  <si>
    <t>RES</t>
  </si>
  <si>
    <t>renewable energy sources</t>
  </si>
  <si>
    <t>SPP</t>
  </si>
  <si>
    <t>solar power plant</t>
  </si>
  <si>
    <t>IMS</t>
  </si>
  <si>
    <t>integrated management system</t>
  </si>
  <si>
    <t>HSE</t>
  </si>
  <si>
    <t>health, safety and environment</t>
  </si>
  <si>
    <t>CWS</t>
  </si>
  <si>
    <t>centralized water supply</t>
  </si>
  <si>
    <t xml:space="preserve">            Greenhouse gases</t>
  </si>
  <si>
    <t>Gross GHG emissions and GHG emissions intensity (Scope 1 + 2) of LUKOIL Group</t>
  </si>
  <si>
    <t>GHG emissions (Scope 1)</t>
  </si>
  <si>
    <t>GHG emissions (Scope 2)</t>
  </si>
  <si>
    <t>Supplies of low-carbon energy</t>
  </si>
  <si>
    <t>2017 is the base year to account for GHG emissions reduction.</t>
  </si>
  <si>
    <t>Reporting systems</t>
  </si>
  <si>
    <t>GHG emissions by the LUKOIL Group entities, Scope 1 + Scope 2 (operational control)</t>
  </si>
  <si>
    <t>GRI, SASB</t>
  </si>
  <si>
    <t>Other</t>
  </si>
  <si>
    <t>Indicator</t>
  </si>
  <si>
    <t>UoM</t>
  </si>
  <si>
    <t xml:space="preserve">GHG emissions (Scope 1 + Scope 2) </t>
  </si>
  <si>
    <t>Notes.</t>
  </si>
  <si>
    <t>GHG emissions (Scope 1 + 2) intensity by business activity of the LUKOIL Group entities</t>
  </si>
  <si>
    <t xml:space="preserve">Exploration and Production </t>
  </si>
  <si>
    <r>
      <rPr>
        <sz val="10"/>
        <color theme="1"/>
        <rFont val="Calibri"/>
        <family val="2"/>
        <scheme val="minor"/>
      </rPr>
      <t>kg of СО</t>
    </r>
    <r>
      <rPr>
        <vertAlign val="subscript"/>
        <sz val="10"/>
        <color theme="1"/>
        <rFont val="Calibri"/>
        <family val="2"/>
        <scheme val="minor"/>
      </rPr>
      <t>2</t>
    </r>
    <r>
      <rPr>
        <sz val="10"/>
        <color theme="1"/>
        <rFont val="Calibri"/>
        <family val="2"/>
        <scheme val="minor"/>
      </rPr>
      <t>e</t>
    </r>
    <r>
      <rPr>
        <sz val="10"/>
        <color rgb="FF000000"/>
        <rFont val="Calibri"/>
        <family val="2"/>
        <scheme val="minor"/>
      </rPr>
      <t xml:space="preserve">  </t>
    </r>
    <r>
      <rPr>
        <sz val="10"/>
        <color rgb="FF000000"/>
        <rFont val="Calibri"/>
        <family val="2"/>
        <scheme val="minor"/>
      </rPr>
      <t>/ boe</t>
    </r>
  </si>
  <si>
    <t xml:space="preserve">GRI 305-4 </t>
  </si>
  <si>
    <t>CCE-4 С4</t>
  </si>
  <si>
    <r>
      <rPr>
        <sz val="10"/>
        <color theme="1"/>
        <rFont val="Calibri"/>
        <family val="2"/>
        <scheme val="minor"/>
      </rPr>
      <t>g of СО</t>
    </r>
    <r>
      <rPr>
        <vertAlign val="subscript"/>
        <sz val="10"/>
        <color theme="1"/>
        <rFont val="Calibri"/>
        <family val="2"/>
        <scheme val="minor"/>
      </rPr>
      <t>2</t>
    </r>
    <r>
      <rPr>
        <sz val="10"/>
        <color theme="1"/>
        <rFont val="Calibri"/>
        <family val="2"/>
        <scheme val="minor"/>
      </rPr>
      <t>e</t>
    </r>
    <r>
      <rPr>
        <sz val="10"/>
        <color rgb="FF000000"/>
        <rFont val="Calibri"/>
        <family val="2"/>
        <scheme val="minor"/>
      </rPr>
      <t> </t>
    </r>
    <r>
      <rPr>
        <sz val="10"/>
        <color rgb="FF000000"/>
        <rFont val="Calibri"/>
        <family val="2"/>
        <scheme val="minor"/>
      </rPr>
      <t>/ MJ</t>
    </r>
  </si>
  <si>
    <t xml:space="preserve">Oil Refining and Petrochemicals </t>
  </si>
  <si>
    <r>
      <rPr>
        <sz val="10"/>
        <color rgb="FF000000"/>
        <rFont val="Calibri"/>
        <family val="2"/>
        <scheme val="minor"/>
      </rPr>
      <t>tonnes of СO</t>
    </r>
    <r>
      <rPr>
        <vertAlign val="subscript"/>
        <sz val="10"/>
        <color rgb="FF000000"/>
        <rFont val="Calibri"/>
        <family val="2"/>
        <scheme val="minor"/>
      </rPr>
      <t>2</t>
    </r>
    <r>
      <rPr>
        <sz val="10"/>
        <color rgb="FF000000"/>
        <rFont val="Calibri"/>
        <family val="2"/>
        <scheme val="minor"/>
      </rPr>
      <t>e</t>
    </r>
    <r>
      <rPr>
        <sz val="10"/>
        <color rgb="FF000000"/>
        <rFont val="Calibri"/>
        <family val="2"/>
        <scheme val="minor"/>
      </rPr>
      <t> </t>
    </r>
    <r>
      <rPr>
        <sz val="10"/>
        <color rgb="FF000000"/>
        <rFont val="Calibri"/>
        <family val="2"/>
        <scheme val="minor"/>
      </rPr>
      <t>/ tonne of processed raw materials</t>
    </r>
  </si>
  <si>
    <t>Power Generation</t>
  </si>
  <si>
    <r>
      <rPr>
        <sz val="10"/>
        <color rgb="FF000000"/>
        <rFont val="Calibri"/>
        <family val="2"/>
        <scheme val="minor"/>
      </rPr>
      <t>tonnes of СO</t>
    </r>
    <r>
      <rPr>
        <vertAlign val="subscript"/>
        <sz val="10"/>
        <color rgb="FF000000"/>
        <rFont val="Calibri"/>
        <family val="2"/>
        <scheme val="minor"/>
      </rPr>
      <t>2</t>
    </r>
    <r>
      <rPr>
        <sz val="10"/>
        <color rgb="FF000000"/>
        <rFont val="Calibri"/>
        <family val="2"/>
        <scheme val="minor"/>
      </rPr>
      <t>e</t>
    </r>
    <r>
      <rPr>
        <sz val="10"/>
        <color rgb="FF000000"/>
        <rFont val="Calibri"/>
        <family val="2"/>
        <scheme val="minor"/>
      </rPr>
      <t> </t>
    </r>
    <r>
      <rPr>
        <sz val="10"/>
        <color rgb="FF000000"/>
        <rFont val="Calibri"/>
        <family val="2"/>
        <scheme val="minor"/>
      </rPr>
      <t>/ MWh of generated electricity and heat</t>
    </r>
  </si>
  <si>
    <t xml:space="preserve">Notes. </t>
  </si>
  <si>
    <r>
      <rPr>
        <b/>
        <sz val="11"/>
        <color rgb="FF0070C0"/>
        <rFont val="Calibri"/>
        <family val="2"/>
      </rPr>
      <t xml:space="preserve">GHG emissions by the LUKOIL Group entities, </t>
    </r>
    <r>
      <rPr>
        <b/>
        <u/>
        <sz val="11"/>
        <color rgb="FF0070C0"/>
        <rFont val="Calibri"/>
        <family val="2"/>
      </rPr>
      <t>Scope 1 (operational control)</t>
    </r>
  </si>
  <si>
    <t>GHG emissions (Scope 1) by composition</t>
  </si>
  <si>
    <r>
      <rPr>
        <sz val="10"/>
        <color rgb="FF000000"/>
        <rFont val="Calibri"/>
        <family val="2"/>
        <charset val="204"/>
        <scheme val="minor"/>
      </rPr>
      <t>mln tonnes of CО</t>
    </r>
    <r>
      <rPr>
        <vertAlign val="subscript"/>
        <sz val="10"/>
        <color rgb="FF000000"/>
        <rFont val="Calibri"/>
        <family val="2"/>
        <charset val="204"/>
        <scheme val="minor"/>
      </rPr>
      <t>2</t>
    </r>
    <r>
      <rPr>
        <sz val="10"/>
        <color rgb="FF000000"/>
        <rFont val="Calibri"/>
        <family val="2"/>
        <charset val="204"/>
        <scheme val="minor"/>
      </rPr>
      <t>e</t>
    </r>
  </si>
  <si>
    <t>GRI 305-1 
SASB EM-EP-110a.1</t>
  </si>
  <si>
    <t>CCE-4 С1</t>
  </si>
  <si>
    <t>BPIs, UNCTAD B.3.1   MED 20</t>
  </si>
  <si>
    <r>
      <rPr>
        <sz val="10"/>
        <color theme="1"/>
        <rFont val="Calibri"/>
        <family val="2"/>
        <charset val="204"/>
        <scheme val="minor"/>
      </rPr>
      <t>Carbon dioxide (CO</t>
    </r>
    <r>
      <rPr>
        <vertAlign val="subscript"/>
        <sz val="10"/>
        <color theme="1"/>
        <rFont val="Calibri"/>
        <family val="2"/>
        <charset val="204"/>
        <scheme val="minor"/>
      </rPr>
      <t>2</t>
    </r>
    <r>
      <rPr>
        <sz val="10"/>
        <color theme="1"/>
        <rFont val="Calibri"/>
        <family val="2"/>
        <charset val="204"/>
        <scheme val="minor"/>
      </rPr>
      <t>)</t>
    </r>
  </si>
  <si>
    <t>GRI 305-1</t>
  </si>
  <si>
    <r>
      <rPr>
        <sz val="10"/>
        <color theme="1"/>
        <rFont val="Calibri"/>
        <family val="2"/>
        <charset val="204"/>
        <scheme val="minor"/>
      </rPr>
      <t>Methane (СH</t>
    </r>
    <r>
      <rPr>
        <vertAlign val="subscript"/>
        <sz val="10"/>
        <color theme="1"/>
        <rFont val="Calibri"/>
        <family val="2"/>
        <charset val="204"/>
        <scheme val="minor"/>
      </rPr>
      <t>4</t>
    </r>
    <r>
      <rPr>
        <sz val="10"/>
        <color theme="1"/>
        <rFont val="Calibri"/>
        <family val="2"/>
        <charset val="204"/>
        <scheme val="minor"/>
      </rPr>
      <t>)</t>
    </r>
  </si>
  <si>
    <t>Methane percentage in total GHG emissions (Scope 1)</t>
  </si>
  <si>
    <t>%</t>
  </si>
  <si>
    <r>
      <rPr>
        <sz val="10"/>
        <color theme="1"/>
        <rFont val="Calibri"/>
        <family val="2"/>
        <charset val="204"/>
        <scheme val="minor"/>
      </rPr>
      <t>Nitrogen monoxide (N</t>
    </r>
    <r>
      <rPr>
        <vertAlign val="subscript"/>
        <sz val="10"/>
        <color theme="1"/>
        <rFont val="Calibri"/>
        <family val="2"/>
        <charset val="204"/>
        <scheme val="minor"/>
      </rPr>
      <t>2</t>
    </r>
    <r>
      <rPr>
        <sz val="10"/>
        <color theme="1"/>
        <rFont val="Calibri"/>
        <family val="2"/>
        <charset val="204"/>
        <scheme val="minor"/>
      </rPr>
      <t>O)</t>
    </r>
  </si>
  <si>
    <t>Other GHGs</t>
  </si>
  <si>
    <t>GHG emissions (Scope 1) by business activity</t>
  </si>
  <si>
    <t>Exploration and Production</t>
  </si>
  <si>
    <t>CCE-4 С3</t>
  </si>
  <si>
    <t>UNCTAD B.3.1</t>
  </si>
  <si>
    <t>Oil Refining and Petrochemicals</t>
  </si>
  <si>
    <t>GRI 305-1 
SASB  EM-RM-110a.1</t>
  </si>
  <si>
    <t>Transportation</t>
  </si>
  <si>
    <t>GRI 305-1 
SASB EM-MD-110a.1</t>
  </si>
  <si>
    <t>GHG emissions (Scope 1) by geography</t>
  </si>
  <si>
    <t>Russian entities</t>
  </si>
  <si>
    <t>Foreign entities</t>
  </si>
  <si>
    <t xml:space="preserve">Percentage of emissions (Scope 1) covered under the emissions-limiting regulations </t>
  </si>
  <si>
    <t>SASB EM-RM-110a.1</t>
  </si>
  <si>
    <t>Flaring GHG emissions (Scope 1) by LUKOIL Group</t>
  </si>
  <si>
    <t>Flaring GHG emissions</t>
  </si>
  <si>
    <r>
      <rPr>
        <sz val="10"/>
        <color rgb="FF000000"/>
        <rFont val="Calibri"/>
        <family val="2"/>
        <scheme val="minor"/>
      </rPr>
      <t>mln tonnes of CО</t>
    </r>
    <r>
      <rPr>
        <vertAlign val="subscript"/>
        <sz val="10"/>
        <color rgb="FF000000"/>
        <rFont val="Calibri"/>
        <family val="2"/>
        <scheme val="minor"/>
      </rPr>
      <t>2</t>
    </r>
    <r>
      <rPr>
        <sz val="10"/>
        <color rgb="FF000000"/>
        <rFont val="Calibri"/>
        <family val="2"/>
        <scheme val="minor"/>
      </rPr>
      <t>e</t>
    </r>
  </si>
  <si>
    <t>ЕМ-ЕР 110а.2 (production)</t>
  </si>
  <si>
    <t>CCE-7 C1</t>
  </si>
  <si>
    <t>ZRF Initiative OGDC Initiative</t>
  </si>
  <si>
    <t>Flaring emissions percentage in total GHG emissions (Scope 1)</t>
  </si>
  <si>
    <t>CCE-7 C4</t>
  </si>
  <si>
    <r>
      <rPr>
        <b/>
        <sz val="10"/>
        <color rgb="FF000000"/>
        <rFont val="Calibri"/>
        <family val="2"/>
        <scheme val="minor"/>
      </rPr>
      <t>Notes.</t>
    </r>
  </si>
  <si>
    <t>Total APG flaring</t>
  </si>
  <si>
    <t>mln cubic meters</t>
  </si>
  <si>
    <t>ЕМ-ЕР-110а.2</t>
  </si>
  <si>
    <t>CCE-7 C1 (partially)</t>
  </si>
  <si>
    <t>APG utilization rate</t>
  </si>
  <si>
    <t>GHG emissions reporting boundaries include only Russian entities. There is no APG production from the operator project in Uzbekistan.</t>
  </si>
  <si>
    <t>GHG emissions by the LUKOIL Group entities, Scope 2 (operational control, regional method)</t>
  </si>
  <si>
    <r>
      <rPr>
        <b/>
        <sz val="10"/>
        <color theme="1"/>
        <rFont val="Calibri"/>
        <family val="2"/>
        <charset val="204"/>
        <scheme val="minor"/>
      </rPr>
      <t>GHG emissions (Scope 2) by business activity</t>
    </r>
  </si>
  <si>
    <t>GRI 305-2</t>
  </si>
  <si>
    <t>UNCTAD B.3.2</t>
  </si>
  <si>
    <t xml:space="preserve">   Exploration and Production</t>
  </si>
  <si>
    <t xml:space="preserve">   Oil Refining and Petrochemicals</t>
  </si>
  <si>
    <t xml:space="preserve">   Power Generation</t>
  </si>
  <si>
    <t xml:space="preserve">   Transportation</t>
  </si>
  <si>
    <t>GHG emissions (Scope 2) by geography</t>
  </si>
  <si>
    <t xml:space="preserve">Reduction of GHG emissions by the LUKOIL Group entities resulting from renewable energy consumption </t>
  </si>
  <si>
    <t>Reduced GHG emissions</t>
  </si>
  <si>
    <r>
      <rPr>
        <sz val="10"/>
        <color theme="1"/>
        <rFont val="Calibri"/>
        <family val="2"/>
        <scheme val="minor"/>
      </rPr>
      <t>tonnes of СО</t>
    </r>
    <r>
      <rPr>
        <vertAlign val="subscript"/>
        <sz val="10"/>
        <color theme="1"/>
        <rFont val="Calibri"/>
        <family val="2"/>
        <scheme val="minor"/>
      </rPr>
      <t>2</t>
    </r>
    <r>
      <rPr>
        <sz val="10"/>
        <color theme="1"/>
        <rFont val="Calibri"/>
        <family val="2"/>
        <scheme val="minor"/>
      </rPr>
      <t>e</t>
    </r>
  </si>
  <si>
    <t>GRI 305-4</t>
  </si>
  <si>
    <t>CCE-3 С1</t>
  </si>
  <si>
    <t>Reduced GHG emissions mean GHG emissions that did not occur at the Company’s facilities due to substitution of grid electricity with electricity produced at the RES facilities of LUKOIL Group and consumed for the Group’s own needs, as well as purchased using emission certificates.</t>
  </si>
  <si>
    <t xml:space="preserve">Reduction of GHG emissions by external consumers </t>
  </si>
  <si>
    <t>Avoided GHG emissions</t>
  </si>
  <si>
    <t>GRI 305-5</t>
  </si>
  <si>
    <t xml:space="preserve">          Energy</t>
  </si>
  <si>
    <t>Indicators calculated within the GHG emissions reporting boundaries</t>
  </si>
  <si>
    <t>Indicators calculated within the perimeter of LUKOIL Group</t>
  </si>
  <si>
    <t>Energy consumption for production purposes within the LUKOIL Group entities</t>
  </si>
  <si>
    <t>Indicators</t>
  </si>
  <si>
    <t>Energy consumption for production purposes (1 + 2 + 3 – 4)</t>
  </si>
  <si>
    <t>mln GJ</t>
  </si>
  <si>
    <t>GRI 302-1</t>
  </si>
  <si>
    <t>CEE-6 С1</t>
  </si>
  <si>
    <t>1. Consumption of purchased energy (excluding purchases of renewable energy generated)</t>
  </si>
  <si>
    <t xml:space="preserve">    Electricity</t>
  </si>
  <si>
    <t xml:space="preserve">    Heat energy</t>
  </si>
  <si>
    <t xml:space="preserve">    Cooling</t>
  </si>
  <si>
    <t xml:space="preserve">    Steam</t>
  </si>
  <si>
    <t xml:space="preserve">2. Hydrocarbon fuel consumed by stationary production facilities </t>
  </si>
  <si>
    <t>MED 22</t>
  </si>
  <si>
    <t>3. Renewable electric energy consumed, including:</t>
  </si>
  <si>
    <t xml:space="preserve">    supporting power generation (for own consumption)</t>
  </si>
  <si>
    <t xml:space="preserve">ESRS E1 </t>
  </si>
  <si>
    <t xml:space="preserve">   purchase of guarantees of origin</t>
  </si>
  <si>
    <t>4. Energy sold and supplied</t>
  </si>
  <si>
    <r>
      <rPr>
        <sz val="10"/>
        <color rgb="FF000000"/>
        <rFont val="Calibri"/>
        <family val="2"/>
      </rPr>
      <t xml:space="preserve"> </t>
    </r>
    <r>
      <rPr>
        <b/>
        <sz val="10"/>
        <color rgb="FF000000"/>
        <rFont val="Calibri"/>
        <family val="2"/>
      </rPr>
      <t>Notes.</t>
    </r>
    <r>
      <rPr>
        <sz val="10"/>
        <color rgb="FF000000"/>
        <rFont val="Calibri"/>
        <family val="2"/>
      </rPr>
      <t xml:space="preserve"> </t>
    </r>
  </si>
  <si>
    <t>Energy consumption for production purposes does not include either household electricity/heat consumption or energy consumption by mobile sources. 
When converting data from one unit to another, the following conversion factors under GOST R 51750-2001 were used: 1,000 kWh = 3.6 GJ, 1 Gcal = 4.19 GJ, 1 tonne of reference fuel = 29.3 GJ).</t>
  </si>
  <si>
    <t xml:space="preserve">Renewable energy consumption for production purposes </t>
  </si>
  <si>
    <t>LUKOIL Group</t>
  </si>
  <si>
    <t>mln kWh</t>
  </si>
  <si>
    <t>CEE-6</t>
  </si>
  <si>
    <t xml:space="preserve">   Russian entities</t>
  </si>
  <si>
    <t xml:space="preserve">   Foreign entities</t>
  </si>
  <si>
    <t>Percentage of renewable energy consumption in total energy consumption for production purposes by the LUKOIL Group entities</t>
  </si>
  <si>
    <t>UNCTAD B.5.1</t>
  </si>
  <si>
    <t>Consumption by energy type</t>
  </si>
  <si>
    <t xml:space="preserve">    Geothermal energy</t>
  </si>
  <si>
    <t xml:space="preserve">    Wind power</t>
  </si>
  <si>
    <t xml:space="preserve">    Solar power</t>
  </si>
  <si>
    <t xml:space="preserve">    Hydroelectric energy</t>
  </si>
  <si>
    <t xml:space="preserve">    Energy from biomass</t>
  </si>
  <si>
    <t>Total energy consumption by business activity of the LUKOIL Group entities and geography</t>
  </si>
  <si>
    <t xml:space="preserve">    Russian entities</t>
  </si>
  <si>
    <t xml:space="preserve">    Foreign entities</t>
  </si>
  <si>
    <t>Refining and Distribution</t>
  </si>
  <si>
    <t xml:space="preserve">   Oil Refining </t>
  </si>
  <si>
    <t xml:space="preserve">          Russian entities</t>
  </si>
  <si>
    <t xml:space="preserve">          Foreign entities</t>
  </si>
  <si>
    <t xml:space="preserve">   Petrochemicals (Russian entities) </t>
  </si>
  <si>
    <t xml:space="preserve">   Power Generation (Russian entities) </t>
  </si>
  <si>
    <t xml:space="preserve">   Transportation (Russian entities) </t>
  </si>
  <si>
    <t>Energy intensity</t>
  </si>
  <si>
    <t>GJ / boe</t>
  </si>
  <si>
    <t>GRI 302-3</t>
  </si>
  <si>
    <t>CEE-6 А2</t>
  </si>
  <si>
    <t>Oil Refining</t>
  </si>
  <si>
    <t>GJ / tonne of manufactured products</t>
  </si>
  <si>
    <t>Petrochemicals</t>
  </si>
  <si>
    <t>GJ / tonne of processed basic raw materials</t>
  </si>
  <si>
    <r>
      <rPr>
        <b/>
        <sz val="10"/>
        <color rgb="FF000000"/>
        <rFont val="Calibri"/>
        <family val="2"/>
      </rPr>
      <t>Notes.</t>
    </r>
    <r>
      <rPr>
        <sz val="10"/>
        <color rgb="FF000000"/>
        <rFont val="Calibri"/>
        <family val="2"/>
      </rPr>
      <t xml:space="preserve"> </t>
    </r>
  </si>
  <si>
    <t>Energy Intensity Index</t>
  </si>
  <si>
    <t>point</t>
  </si>
  <si>
    <t>CEE-6 А4</t>
  </si>
  <si>
    <t xml:space="preserve">Indicators calculated within the perimeter of LUKOIL Group </t>
  </si>
  <si>
    <t>Renewable electric energy generation by LUKOIL Group</t>
  </si>
  <si>
    <r>
      <rPr>
        <b/>
        <sz val="11"/>
        <color theme="1"/>
        <rFont val="Calibri"/>
        <family val="2"/>
        <charset val="204"/>
        <scheme val="minor"/>
      </rPr>
      <t xml:space="preserve">Total amount of renewable energy generated </t>
    </r>
    <r>
      <rPr>
        <sz val="11"/>
        <color theme="1"/>
        <rFont val="Calibri"/>
        <family val="2"/>
        <charset val="204"/>
        <scheme val="minor"/>
      </rPr>
      <t>(commercial and supporting power generation)</t>
    </r>
  </si>
  <si>
    <t>By energy sources:</t>
  </si>
  <si>
    <t xml:space="preserve">    wind power</t>
  </si>
  <si>
    <t xml:space="preserve">    solar power</t>
  </si>
  <si>
    <t xml:space="preserve">    hydroelectric energy</t>
  </si>
  <si>
    <t xml:space="preserve">By geography: </t>
  </si>
  <si>
    <t xml:space="preserve">    in Russia</t>
  </si>
  <si>
    <t xml:space="preserve">    abroad</t>
  </si>
  <si>
    <t>Total electric energy produced by all power generating facilities (commercial and supporting power generation, including RES)</t>
  </si>
  <si>
    <t>Percentage of renewable electric energy in total electric energy generated</t>
  </si>
  <si>
    <t>Economic indicators of the LUKOIL Group's RES advancement projects</t>
  </si>
  <si>
    <t>Investments in RES advancement</t>
  </si>
  <si>
    <t>RUB mln</t>
  </si>
  <si>
    <t>UNCTAD A3.1  MED 10</t>
  </si>
  <si>
    <t>Percentage of income from sales of renewable electric energy</t>
  </si>
  <si>
    <t>EM-EP-420a.3</t>
  </si>
  <si>
    <t>Energy management system</t>
  </si>
  <si>
    <t>Percentage of employees of the LUKOIL Group entities covered by the certificates confirming their energy management systems’ compliance with the ISO 50001 standard</t>
  </si>
  <si>
    <t>Number of entities where internal audits of the state of management systems and external supervisory/recertification audits were performed</t>
  </si>
  <si>
    <t>Entities</t>
  </si>
  <si>
    <r>
      <rPr>
        <b/>
        <sz val="10"/>
        <color theme="1"/>
        <rFont val="Calibri"/>
        <family val="2"/>
        <scheme val="minor"/>
      </rPr>
      <t>Notes.</t>
    </r>
  </si>
  <si>
    <t xml:space="preserve">Percentage of employees at the entities covered by the certificates confirming the energy management systems’ compliance = Headcount of employees at the entities with certificates confirming their management systems’ compliance with the requirements of the specified international standard / Headcount of the LUKOIL Group entities in the reporting year. </t>
  </si>
  <si>
    <r>
      <rPr>
        <b/>
        <sz val="11"/>
        <color rgb="FF0070C0"/>
        <rFont val="Calibri"/>
        <family val="2"/>
      </rPr>
      <t>Economic impact of the implementation of the Energy Conservation Program at LUKOIL Group</t>
    </r>
  </si>
  <si>
    <t xml:space="preserve">Russian entities </t>
  </si>
  <si>
    <t>Foreign entities have been participating in the program since 2023.</t>
  </si>
  <si>
    <t>Energy savings resulting from the implementation of the Energy Conservation Program at LUKOIL Group</t>
  </si>
  <si>
    <t>thousand GJ</t>
  </si>
  <si>
    <t xml:space="preserve">   Russian entities </t>
  </si>
  <si>
    <t>Energy savings achieved by type</t>
  </si>
  <si>
    <t xml:space="preserve">   Electric energy</t>
  </si>
  <si>
    <t xml:space="preserve">   Heat energy</t>
  </si>
  <si>
    <t>thousand Gcal</t>
  </si>
  <si>
    <t xml:space="preserve">   Boiler and furnace fuels</t>
  </si>
  <si>
    <t>thousand tonnes of reference fuel</t>
  </si>
  <si>
    <t xml:space="preserve">           Integrated HSE Management System</t>
  </si>
  <si>
    <t xml:space="preserve">Certification of management systems </t>
  </si>
  <si>
    <t>Percentage of employees of the LUKOIL Group entities covered by certificates confirming their HSE management systems’ compliance with ISO 14001 and ISO 45001 standards</t>
  </si>
  <si>
    <t>GRI 403-8</t>
  </si>
  <si>
    <t>SHS-1 С3</t>
  </si>
  <si>
    <t>Number of the LUKOIL Group entities that have certificates confirming their HSE management systems’ compliance with ISO 14001 and ISO 45001 standards</t>
  </si>
  <si>
    <r>
      <rPr>
        <b/>
        <sz val="10"/>
        <color theme="1"/>
        <rFont val="Calibri"/>
        <family val="2"/>
        <charset val="204"/>
        <scheme val="minor"/>
      </rPr>
      <t>Notes.</t>
    </r>
    <r>
      <rPr>
        <sz val="10"/>
        <color theme="1"/>
        <rFont val="Calibri"/>
        <family val="2"/>
        <charset val="204"/>
        <scheme val="minor"/>
      </rPr>
      <t xml:space="preserve"> </t>
    </r>
  </si>
  <si>
    <t>Number of the LUKOIL Group entities where the state of HSE management systems was inspected</t>
  </si>
  <si>
    <t>External audits for compliance with ISO 14001 and ISO 45001 standards</t>
  </si>
  <si>
    <t>SHS-3 А4</t>
  </si>
  <si>
    <t>Internal audits for compliance with legislative and corporate requirements</t>
  </si>
  <si>
    <r>
      <rPr>
        <b/>
        <sz val="10"/>
        <color rgb="FF000000"/>
        <rFont val="Calibri"/>
        <family val="2"/>
        <charset val="204"/>
        <scheme val="minor"/>
      </rPr>
      <t>Notes.</t>
    </r>
    <r>
      <rPr>
        <sz val="10"/>
        <color rgb="FF000000"/>
        <rFont val="Calibri"/>
        <family val="2"/>
        <charset val="204"/>
        <scheme val="minor"/>
      </rPr>
      <t xml:space="preserve"> </t>
    </r>
  </si>
  <si>
    <t>Total costs for HSE targeted and investment programs at LUKOIL Group</t>
  </si>
  <si>
    <t>Environmental safety program (ESP)</t>
  </si>
  <si>
    <t>MED 21</t>
  </si>
  <si>
    <t xml:space="preserve">    CAPEX</t>
  </si>
  <si>
    <t>Program of Industrial Safety, Improvement of Labor Conditions and Occupational Safety, and Emergency Prevention and Liquidation (ISP)</t>
  </si>
  <si>
    <t xml:space="preserve">    Costs to improve labor conditions and protect health, reduce occupational injury and occupational disease rates</t>
  </si>
  <si>
    <t>UNCTAD C3.1   MED 27</t>
  </si>
  <si>
    <t xml:space="preserve">    Costs to reduce accident, incident, fire, and emergency risks</t>
  </si>
  <si>
    <t>R&amp;D, experimental engineering, and scientific technical works in Russia</t>
  </si>
  <si>
    <t xml:space="preserve">    Environmental protection</t>
  </si>
  <si>
    <t xml:space="preserve">    Industrial safety</t>
  </si>
  <si>
    <t xml:space="preserve">Employee HSE training at LUKOIL Group </t>
  </si>
  <si>
    <r>
      <rPr>
        <b/>
        <sz val="10"/>
        <color theme="1"/>
        <rFont val="Calibri"/>
        <family val="2"/>
      </rPr>
      <t xml:space="preserve">Scope of OHS training </t>
    </r>
    <r>
      <rPr>
        <sz val="10"/>
        <color rgb="FF000000"/>
        <rFont val="Calibri"/>
        <family val="2"/>
      </rPr>
      <t xml:space="preserve"> (LUKOIL Group)</t>
    </r>
  </si>
  <si>
    <t>person-courses</t>
  </si>
  <si>
    <t>GRI 403-5</t>
  </si>
  <si>
    <t xml:space="preserve"> SOC-7</t>
  </si>
  <si>
    <t xml:space="preserve">    Russian entities </t>
  </si>
  <si>
    <t xml:space="preserve">    Foreign entities </t>
  </si>
  <si>
    <t xml:space="preserve">By employee category </t>
  </si>
  <si>
    <t xml:space="preserve">    Managers</t>
  </si>
  <si>
    <t>people</t>
  </si>
  <si>
    <t xml:space="preserve">    Specialists </t>
  </si>
  <si>
    <t xml:space="preserve">    Workers and other employees</t>
  </si>
  <si>
    <r>
      <rPr>
        <b/>
        <sz val="10"/>
        <color theme="1"/>
        <rFont val="Calibri"/>
        <family val="2"/>
        <charset val="204"/>
        <scheme val="minor"/>
      </rPr>
      <t>OHS</t>
    </r>
    <r>
      <rPr>
        <sz val="10"/>
        <color theme="1"/>
        <rFont val="Calibri"/>
        <family val="2"/>
        <charset val="204"/>
        <scheme val="minor"/>
      </rPr>
      <t xml:space="preserve"> </t>
    </r>
    <r>
      <rPr>
        <b/>
        <sz val="10"/>
        <color theme="1"/>
        <rFont val="Calibri"/>
        <family val="2"/>
        <charset val="204"/>
        <scheme val="minor"/>
      </rPr>
      <t>training costs</t>
    </r>
    <r>
      <rPr>
        <sz val="10"/>
        <color theme="1"/>
        <rFont val="Calibri"/>
        <family val="2"/>
        <charset val="204"/>
        <scheme val="minor"/>
      </rPr>
      <t xml:space="preserve"> (Employee Training and Advanced Vocational Training category)</t>
    </r>
  </si>
  <si>
    <t>RUB million</t>
  </si>
  <si>
    <r>
      <rPr>
        <b/>
        <sz val="10"/>
        <color theme="1"/>
        <rFont val="Calibri"/>
        <family val="2"/>
        <charset val="204"/>
        <scheme val="minor"/>
      </rPr>
      <t>Scope of environmental protection training</t>
    </r>
    <r>
      <rPr>
        <sz val="10"/>
        <color theme="1"/>
        <rFont val="Calibri"/>
        <family val="2"/>
        <charset val="204"/>
        <scheme val="minor"/>
      </rPr>
      <t xml:space="preserve"> (Russian entities)</t>
    </r>
  </si>
  <si>
    <t xml:space="preserve">   Specialists </t>
  </si>
  <si>
    <t xml:space="preserve">   Workers</t>
  </si>
  <si>
    <t xml:space="preserve">The data on the scope of OHS training refer to the mandatory OHS training and the training under certification programs and include both in-person and distance learning. </t>
  </si>
  <si>
    <t xml:space="preserve">            Water</t>
  </si>
  <si>
    <t>Water withdrawal by the LUKOIL Group entities</t>
  </si>
  <si>
    <r>
      <rPr>
        <b/>
        <sz val="10"/>
        <color theme="1"/>
        <rFont val="Calibri"/>
        <family val="2"/>
        <charset val="204"/>
        <scheme val="minor"/>
      </rPr>
      <t>1.</t>
    </r>
    <r>
      <rPr>
        <b/>
        <sz val="10"/>
        <color theme="1"/>
        <rFont val="Calibri"/>
        <family val="2"/>
        <charset val="204"/>
        <scheme val="minor"/>
      </rPr>
      <t xml:space="preserve"> </t>
    </r>
    <r>
      <rPr>
        <b/>
        <sz val="10"/>
        <color theme="1"/>
        <rFont val="Calibri"/>
        <family val="2"/>
        <charset val="204"/>
        <scheme val="minor"/>
      </rPr>
      <t>Water withdrawal and retrieval (1 = 1.1 + 1.2 + 1.3</t>
    </r>
    <r>
      <rPr>
        <sz val="10"/>
        <color theme="1"/>
        <rFont val="Calibri"/>
        <family val="2"/>
        <charset val="204"/>
        <scheme val="minor"/>
      </rPr>
      <t xml:space="preserve"> </t>
    </r>
    <r>
      <rPr>
        <i/>
        <sz val="10"/>
        <color rgb="FF000000"/>
        <rFont val="Calibri"/>
        <family val="2"/>
        <charset val="204"/>
        <scheme val="minor"/>
      </rPr>
      <t>of the table "Water withdrawn by sources"</t>
    </r>
    <r>
      <rPr>
        <b/>
        <i/>
        <sz val="10"/>
        <color rgb="FF000000"/>
        <rFont val="Calibri"/>
        <family val="2"/>
        <charset val="204"/>
        <scheme val="minor"/>
      </rPr>
      <t>)</t>
    </r>
  </si>
  <si>
    <t>GRI 303-3</t>
  </si>
  <si>
    <t xml:space="preserve">BPIs     ESRS E3-4 </t>
  </si>
  <si>
    <t>By geography</t>
  </si>
  <si>
    <t xml:space="preserve">        including electric energy entities</t>
  </si>
  <si>
    <t>Water withdrawn by source</t>
  </si>
  <si>
    <t xml:space="preserve">    sea water</t>
  </si>
  <si>
    <t xml:space="preserve">    fresh water</t>
  </si>
  <si>
    <t>ENV-1 C1</t>
  </si>
  <si>
    <t xml:space="preserve">    other water (mineralized, wastewater, centralized water supply, etc.)</t>
  </si>
  <si>
    <t>Percentage of fresh water withdrawn in the total water withdrawal by LUKOIL Group</t>
  </si>
  <si>
    <t>ENV-1 A8</t>
  </si>
  <si>
    <t xml:space="preserve">    Percentage of fresh water withdrawn by Russian entities from the total water withdrawal in Russia</t>
  </si>
  <si>
    <t xml:space="preserve">    Percentage of fresh water withdrawn by foreign entities from the total water withdrawal in foreign countries</t>
  </si>
  <si>
    <r>
      <rPr>
        <b/>
        <sz val="10"/>
        <color theme="1"/>
        <rFont val="Calibri"/>
        <family val="2"/>
        <scheme val="minor"/>
      </rPr>
      <t>Notes.</t>
    </r>
    <r>
      <rPr>
        <sz val="10"/>
        <color theme="1"/>
        <rFont val="Calibri"/>
        <family val="2"/>
        <scheme val="minor"/>
      </rPr>
      <t xml:space="preserve"> </t>
    </r>
  </si>
  <si>
    <t>The data exclude water produced as a by-product with hydrocarbons and subsequently used to maintain the formation pressure during oil production.</t>
  </si>
  <si>
    <t>Water withdrawal by source</t>
  </si>
  <si>
    <t>1.1. From surface sources</t>
  </si>
  <si>
    <t>UNCTAD B1.3</t>
  </si>
  <si>
    <t xml:space="preserve">    sea water </t>
  </si>
  <si>
    <t xml:space="preserve">    water from other surface sources (fresh water)</t>
  </si>
  <si>
    <t>1.2. From underground sources</t>
  </si>
  <si>
    <t xml:space="preserve">    other water</t>
  </si>
  <si>
    <t xml:space="preserve">    fresh water </t>
  </si>
  <si>
    <t xml:space="preserve">    other water </t>
  </si>
  <si>
    <t>1.3. From other sources</t>
  </si>
  <si>
    <t xml:space="preserve">Water withdrawal from underground sources (other water, point 1.2) includes water produced as a by-product with hydrocarbons and subsequently pumped into absorbing subsoil horizons. </t>
  </si>
  <si>
    <t xml:space="preserve">Water withdrawal from other sources (point 1.3) includes water taken from centralized water supply sources, as well as third-party wastewater received and used by the Group’s entities. </t>
  </si>
  <si>
    <t>Water produced as a by-product with hydrocarbons and subsequently used to maintain the formation pressure during oil production</t>
  </si>
  <si>
    <t xml:space="preserve">mln cubic meters </t>
  </si>
  <si>
    <t>ENV-1 А5</t>
  </si>
  <si>
    <t>Volumes of circulating water supply and reused water in the LUKOIL Group entities</t>
  </si>
  <si>
    <t>UNCTAD B1.1   
MED 14</t>
  </si>
  <si>
    <r>
      <rPr>
        <sz val="8"/>
        <color theme="1"/>
        <rFont val="Calibri"/>
        <family val="2"/>
        <charset val="204"/>
        <scheme val="minor"/>
      </rPr>
      <t>UNCTAD B1.1  
BPIs</t>
    </r>
  </si>
  <si>
    <t xml:space="preserve">    Volume of circulating water supply</t>
  </si>
  <si>
    <t xml:space="preserve">    Volume of sequentially reused water</t>
  </si>
  <si>
    <t xml:space="preserve">Foreign entities </t>
  </si>
  <si>
    <t>UNCTAD B1.1</t>
  </si>
  <si>
    <t xml:space="preserve">    Volume of circulating water supply </t>
  </si>
  <si>
    <r>
      <rPr>
        <b/>
        <sz val="10"/>
        <color theme="1"/>
        <rFont val="Calibri"/>
        <family val="2"/>
      </rPr>
      <t>Notes.</t>
    </r>
  </si>
  <si>
    <t>Circulating water supply means multiple use of water in technological processes based on the principle of closed systems without discharging into surface water bodies or sewage systems. Sequentially reused water supply is the use of water that retained its quality after being used in a technological process and is supplied without treatment for reuse.  Water produced as a by-product with oil and used to maintain the formation pressure during oil production is considered reused.</t>
  </si>
  <si>
    <t xml:space="preserve">Water usage by the LUKOIL Group entities </t>
  </si>
  <si>
    <r>
      <rPr>
        <b/>
        <sz val="10"/>
        <color theme="1"/>
        <rFont val="Calibri"/>
        <family val="2"/>
      </rPr>
      <t>Water consumption for own needs</t>
    </r>
    <r>
      <rPr>
        <sz val="10"/>
        <color theme="1"/>
        <rFont val="Calibri"/>
        <family val="2"/>
      </rPr>
      <t xml:space="preserve"> (household, industrial, other)</t>
    </r>
    <r>
      <rPr>
        <sz val="10"/>
        <color theme="1"/>
        <rFont val="Calibri"/>
        <family val="2"/>
      </rPr>
      <t xml:space="preserve"> </t>
    </r>
  </si>
  <si>
    <t xml:space="preserve">mln cubic meters  </t>
  </si>
  <si>
    <t>MED 13</t>
  </si>
  <si>
    <t xml:space="preserve">Other operations </t>
  </si>
  <si>
    <t>Unused water transferred to third-party consumers without the LUKOIL Group entities using it</t>
  </si>
  <si>
    <t>GRI 303-4</t>
  </si>
  <si>
    <r>
      <rPr>
        <b/>
        <sz val="10"/>
        <color theme="1"/>
        <rFont val="Calibri"/>
        <family val="2"/>
      </rPr>
      <t>Notes.</t>
    </r>
    <r>
      <rPr>
        <sz val="10"/>
        <color theme="1"/>
        <rFont val="Calibri"/>
        <family val="2"/>
      </rPr>
      <t xml:space="preserve"> </t>
    </r>
  </si>
  <si>
    <t>Losses on water transportation have been recognized in the “Other operations” category since 2021. Starting from 2022, this category also includes water received by the LUKOIL Group entities from third parties and sent to the Group entities’ own treatment facilities with subsequent discharge into the receiving water body.</t>
  </si>
  <si>
    <t>Water usage for own needs by business activity of the LUKOIL Group entities</t>
  </si>
  <si>
    <t>SASB EM-EP-140a.1</t>
  </si>
  <si>
    <t>ENV-1 А2</t>
  </si>
  <si>
    <t>Oil Product Supply, Transportation</t>
  </si>
  <si>
    <r>
      <rPr>
        <b/>
        <sz val="10"/>
        <color rgb="FF000000"/>
        <rFont val="Calibri"/>
        <family val="2"/>
      </rPr>
      <t>Notes.</t>
    </r>
  </si>
  <si>
    <t xml:space="preserve">Water consumption intensity used for own production needs in the Russian entities of LUKOIL Group </t>
  </si>
  <si>
    <t>cubic meters / tonne of reference fuel in extracted hydrocarbon resources</t>
  </si>
  <si>
    <t>cubic meters / tonne of processed raw materials</t>
  </si>
  <si>
    <t xml:space="preserve"> cubic meters / tonne of processed raw materials</t>
  </si>
  <si>
    <t>Oil Product Supply</t>
  </si>
  <si>
    <t>cubic meters / tonne of oil products sold</t>
  </si>
  <si>
    <t xml:space="preserve">cubic meters / tonne of oil, oil products transported </t>
  </si>
  <si>
    <t xml:space="preserve">cubic meters / tonne of reference fuel in consumed fuel </t>
  </si>
  <si>
    <t>Water discharge by the LUKOIL Group entities</t>
  </si>
  <si>
    <t>1. Water discharge (1 = 1.1 + 1.2 + 1.3 + 1.4 + 1.5)</t>
  </si>
  <si>
    <t>ENV-2 A6</t>
  </si>
  <si>
    <t xml:space="preserve">By destination </t>
  </si>
  <si>
    <r>
      <rPr>
        <b/>
        <sz val="10"/>
        <color rgb="FF000000"/>
        <rFont val="Calibri"/>
        <family val="2"/>
        <charset val="204"/>
        <scheme val="minor"/>
      </rPr>
      <t>1.1.</t>
    </r>
    <r>
      <rPr>
        <b/>
        <sz val="10"/>
        <color rgb="FF000000"/>
        <rFont val="Calibri"/>
        <family val="2"/>
        <charset val="204"/>
        <scheme val="minor"/>
      </rPr>
      <t xml:space="preserve"> </t>
    </r>
    <r>
      <rPr>
        <b/>
        <sz val="10"/>
        <color rgb="FF000000"/>
        <rFont val="Calibri"/>
        <family val="2"/>
        <charset val="204"/>
        <scheme val="minor"/>
      </rPr>
      <t>Water discharge into surface water bodie</t>
    </r>
    <r>
      <rPr>
        <b/>
        <sz val="10"/>
        <color rgb="FF000000"/>
        <rFont val="Calibri"/>
        <family val="2"/>
        <charset val="204"/>
        <scheme val="minor"/>
      </rPr>
      <t>s</t>
    </r>
    <r>
      <rPr>
        <sz val="10"/>
        <color rgb="FF000000"/>
        <rFont val="Calibri"/>
        <family val="2"/>
        <charset val="204"/>
        <scheme val="minor"/>
      </rPr>
      <t xml:space="preserve"> (</t>
    </r>
    <r>
      <rPr>
        <i/>
        <sz val="10"/>
        <color rgb="FF000000"/>
        <rFont val="Calibri"/>
        <family val="2"/>
        <charset val="204"/>
        <scheme val="minor"/>
      </rPr>
      <t>excluding water discharge into the sea</t>
    </r>
    <r>
      <rPr>
        <sz val="10"/>
        <color rgb="FF000000"/>
        <rFont val="Calibri"/>
        <family val="2"/>
        <charset val="204"/>
        <scheme val="minor"/>
      </rPr>
      <t>)</t>
    </r>
  </si>
  <si>
    <t>1.2. Water discharge into the sea</t>
  </si>
  <si>
    <t>1.3. Water discharge into subsoil horizons</t>
  </si>
  <si>
    <r>
      <rPr>
        <b/>
        <sz val="10"/>
        <color rgb="FF000000"/>
        <rFont val="Calibri"/>
        <family val="2"/>
        <scheme val="minor"/>
      </rPr>
      <t>1.4.</t>
    </r>
    <r>
      <rPr>
        <b/>
        <sz val="10"/>
        <color rgb="FF000000"/>
        <rFont val="Calibri"/>
        <family val="2"/>
        <scheme val="minor"/>
      </rPr>
      <t xml:space="preserve"> </t>
    </r>
    <r>
      <rPr>
        <b/>
        <sz val="10"/>
        <color rgb="FF000000"/>
        <rFont val="Calibri"/>
        <family val="2"/>
        <scheme val="minor"/>
      </rPr>
      <t>Water transferred to third parties after use by the LUKOIL Group entities</t>
    </r>
    <r>
      <rPr>
        <sz val="10"/>
        <color rgb="FF000000"/>
        <rFont val="Calibri"/>
        <family val="2"/>
        <scheme val="minor"/>
      </rPr>
      <t xml:space="preserve"> </t>
    </r>
    <r>
      <rPr>
        <i/>
        <sz val="10"/>
        <color rgb="FF000000"/>
        <rFont val="Calibri"/>
        <family val="2"/>
        <scheme val="minor"/>
      </rPr>
      <t>(excluding intra-group exchange)</t>
    </r>
  </si>
  <si>
    <t xml:space="preserve">Water discharge into subsoil horizons (1.3) includes water produced as a by-product with hydrocarbons and subsequently pumped into absorption wells. </t>
  </si>
  <si>
    <t>Water discharge into surface water bodies and into the sea by the LUKOIL Group entities by wastewater quality</t>
  </si>
  <si>
    <t>Water discharge into surface water bodies and the sea (1 + 2)</t>
  </si>
  <si>
    <t xml:space="preserve">GRI 303-4 </t>
  </si>
  <si>
    <t xml:space="preserve">    Foreign entities  </t>
  </si>
  <si>
    <t>1. Water discharge into surface water bodies by wastewater quality (1 = 1.1 + 1.2 + 1.3)</t>
  </si>
  <si>
    <t xml:space="preserve">        Russian entities</t>
  </si>
  <si>
    <t xml:space="preserve">        Foreign entities  </t>
  </si>
  <si>
    <t xml:space="preserve">    1.1. Clean standard-quality wastewater  </t>
  </si>
  <si>
    <t xml:space="preserve">    1.2. Wastewater treated to standard quality </t>
  </si>
  <si>
    <t xml:space="preserve">    1.3. Polluted wastewater  </t>
  </si>
  <si>
    <t>MED 15</t>
  </si>
  <si>
    <t>2. Water discharge into the sea by wastewater quality (2 = 2.1 + 2.2 + 2.3)</t>
  </si>
  <si>
    <t xml:space="preserve">    2.1. Clean standard-quality wastewater  </t>
  </si>
  <si>
    <t xml:space="preserve">    2.2. Wastewater treated to standard quality </t>
  </si>
  <si>
    <t xml:space="preserve">    2.3. Polluted wastewater  </t>
  </si>
  <si>
    <t>Oil and Gas Production</t>
  </si>
  <si>
    <t xml:space="preserve">The discharge of insufficiently treated wastewater into water bodies is no longer carried out by the Oil and Gas Production and Oil Product Supply entities (since 2022), and by the Petrochemicals and Power Generation entities (terminated before 2019).   </t>
  </si>
  <si>
    <t xml:space="preserve">           Air emissions</t>
  </si>
  <si>
    <r>
      <rPr>
        <b/>
        <sz val="11"/>
        <color rgb="FF0070C0"/>
        <rFont val="Calibri"/>
        <family val="2"/>
      </rPr>
      <t>Air emissions</t>
    </r>
    <r>
      <rPr>
        <b/>
        <sz val="11"/>
        <color theme="1"/>
        <rFont val="Calibri"/>
        <family val="2"/>
      </rPr>
      <t xml:space="preserve"> </t>
    </r>
    <r>
      <rPr>
        <b/>
        <sz val="11"/>
        <color rgb="FF0070C0"/>
        <rFont val="Calibri"/>
        <family val="2"/>
      </rPr>
      <t>(net of CO</t>
    </r>
    <r>
      <rPr>
        <b/>
        <vertAlign val="subscript"/>
        <sz val="11"/>
        <color rgb="FF0070C0"/>
        <rFont val="Calibri"/>
        <family val="2"/>
      </rPr>
      <t>2</t>
    </r>
    <r>
      <rPr>
        <b/>
        <sz val="11"/>
        <color rgb="FF0070C0"/>
        <rFont val="Calibri"/>
        <family val="2"/>
      </rPr>
      <t>) at LUKOIL Group</t>
    </r>
  </si>
  <si>
    <t xml:space="preserve">Total pollutant emissions </t>
  </si>
  <si>
    <t xml:space="preserve"> thousand tonnes</t>
  </si>
  <si>
    <t>GRI 305-7</t>
  </si>
  <si>
    <t>ENV-5 С1</t>
  </si>
  <si>
    <t>BPIs
 MED 19</t>
  </si>
  <si>
    <t>Percentage of air pollutant emissions from production facilities located in cities with a population of more than 1 million people (Volgograd, Perm)</t>
  </si>
  <si>
    <t>SASB EM-RM-120a.2</t>
  </si>
  <si>
    <t>Number of refineries located in densely populated cities (over 1 mln people)</t>
  </si>
  <si>
    <t>refineries</t>
  </si>
  <si>
    <t>Emissions by pollutant type:</t>
  </si>
  <si>
    <r>
      <rPr>
        <b/>
        <sz val="10"/>
        <color theme="1"/>
        <rFont val="Calibri"/>
        <family val="2"/>
        <charset val="204"/>
        <scheme val="minor"/>
      </rPr>
      <t>NO</t>
    </r>
    <r>
      <rPr>
        <b/>
        <vertAlign val="subscript"/>
        <sz val="10"/>
        <color rgb="FF000000"/>
        <rFont val="Calibri"/>
        <family val="2"/>
        <charset val="204"/>
        <scheme val="minor"/>
      </rPr>
      <t xml:space="preserve">x </t>
    </r>
    <r>
      <rPr>
        <b/>
        <sz val="10"/>
        <color theme="1"/>
        <rFont val="Calibri"/>
        <family val="2"/>
        <charset val="204"/>
        <scheme val="minor"/>
      </rPr>
      <t>emissions</t>
    </r>
    <r>
      <rPr>
        <b/>
        <vertAlign val="subscript"/>
        <sz val="10"/>
        <color rgb="FF000000"/>
        <rFont val="Calibri"/>
        <family val="2"/>
        <charset val="204"/>
        <scheme val="minor"/>
      </rPr>
      <t xml:space="preserve"> </t>
    </r>
  </si>
  <si>
    <t>By business activity</t>
  </si>
  <si>
    <t xml:space="preserve">    Exploration and Production</t>
  </si>
  <si>
    <t>GRI 305-7
SASB EM-EP-120a.1</t>
  </si>
  <si>
    <t xml:space="preserve">    Oil Refining, Petrochemicals</t>
  </si>
  <si>
    <t>GRI 305-7
SASB EM-RM-120a.1</t>
  </si>
  <si>
    <t xml:space="preserve">   Oil Product Supply, Transportation</t>
  </si>
  <si>
    <t>GRI 305-7
SASB EM-MD-120a.1</t>
  </si>
  <si>
    <r>
      <rPr>
        <b/>
        <sz val="10"/>
        <color theme="1"/>
        <rFont val="Calibri"/>
        <family val="2"/>
        <charset val="204"/>
        <scheme val="minor"/>
      </rPr>
      <t>SO</t>
    </r>
    <r>
      <rPr>
        <b/>
        <vertAlign val="subscript"/>
        <sz val="10"/>
        <color rgb="FF000000"/>
        <rFont val="Calibri"/>
        <family val="2"/>
        <charset val="204"/>
        <scheme val="minor"/>
      </rPr>
      <t xml:space="preserve">2 </t>
    </r>
    <r>
      <rPr>
        <b/>
        <sz val="10"/>
        <color theme="1"/>
        <rFont val="Calibri"/>
        <family val="2"/>
        <charset val="204"/>
        <scheme val="minor"/>
      </rPr>
      <t>emissions</t>
    </r>
    <r>
      <rPr>
        <b/>
        <vertAlign val="subscript"/>
        <sz val="10"/>
        <color rgb="FF000000"/>
        <rFont val="Calibri"/>
        <family val="2"/>
        <charset val="204"/>
        <scheme val="minor"/>
      </rPr>
      <t xml:space="preserve"> </t>
    </r>
  </si>
  <si>
    <t xml:space="preserve">    Power Generation</t>
  </si>
  <si>
    <r>
      <rPr>
        <sz val="10"/>
        <color theme="1"/>
        <rFont val="Calibri"/>
        <family val="2"/>
        <charset val="204"/>
        <scheme val="minor"/>
      </rPr>
      <t xml:space="preserve">   </t>
    </r>
    <r>
      <rPr>
        <sz val="10"/>
        <color theme="1"/>
        <rFont val="Calibri"/>
        <family val="2"/>
        <charset val="204"/>
        <scheme val="minor"/>
      </rPr>
      <t>Oil Product Supply, Transportation</t>
    </r>
  </si>
  <si>
    <t>Solid particle discharges (PM)</t>
  </si>
  <si>
    <t>ENV-5 А1</t>
  </si>
  <si>
    <t xml:space="preserve">   Oil Refining, Petrochemicals</t>
  </si>
  <si>
    <t xml:space="preserve">CO emissions </t>
  </si>
  <si>
    <t xml:space="preserve">Hydrocarbon emissions  </t>
  </si>
  <si>
    <t xml:space="preserve">Volatile organic compounds (VOC) emissions </t>
  </si>
  <si>
    <r>
      <rPr>
        <sz val="10"/>
        <color theme="1"/>
        <rFont val="Calibri"/>
        <family val="2"/>
        <charset val="204"/>
        <scheme val="minor"/>
      </rPr>
      <t xml:space="preserve">   </t>
    </r>
    <r>
      <rPr>
        <sz val="10"/>
        <color theme="1"/>
        <rFont val="Calibri"/>
        <family val="2"/>
        <charset val="204"/>
        <scheme val="minor"/>
      </rPr>
      <t>Oil Refining, Petrochemicals</t>
    </r>
  </si>
  <si>
    <t xml:space="preserve">Emissions of other pollutants </t>
  </si>
  <si>
    <t xml:space="preserve">The “Emissions of other pollutants” category includes specific substances subject to accounting according to the state statistical forms (except for those listed in the table), and the percentage of which is less than 1% of total emissions.			</t>
  </si>
  <si>
    <t>kg / tonne of reference fuel in extracted hydrocarbon resources</t>
  </si>
  <si>
    <t>kg / tonne of processed raw materials</t>
  </si>
  <si>
    <t>kg / tonne of oil products sold</t>
  </si>
  <si>
    <t xml:space="preserve"> kg / tonne of oil, oil products transported </t>
  </si>
  <si>
    <t xml:space="preserve">kg / tonne of reference fuel in consumed fuel </t>
  </si>
  <si>
    <t xml:space="preserve">         Land and waste</t>
  </si>
  <si>
    <t>Waste movement at the LUKOIL Group entities</t>
  </si>
  <si>
    <t>Waste at the beginning of the reporting year</t>
  </si>
  <si>
    <t>thousand tonnes</t>
  </si>
  <si>
    <t>Waste generated during the reporting year</t>
  </si>
  <si>
    <t>GRI 306-3</t>
  </si>
  <si>
    <t>ENV-7 C3</t>
  </si>
  <si>
    <t xml:space="preserve">UNCTAD B2.1 </t>
  </si>
  <si>
    <r>
      <rPr>
        <sz val="8"/>
        <color theme="1"/>
        <rFont val="Calibri"/>
        <family val="2"/>
        <charset val="204"/>
        <scheme val="minor"/>
      </rPr>
      <t>UNCTAD B2.1   BPIs</t>
    </r>
  </si>
  <si>
    <t>UNCTAD B2.1</t>
  </si>
  <si>
    <t xml:space="preserve">Waste received from third parties </t>
  </si>
  <si>
    <t xml:space="preserve">Amount of waste eliminated (recovered, neutralized, landfilled, disposed at dedicated facilities) </t>
  </si>
  <si>
    <t>UNCTAD B2.2</t>
  </si>
  <si>
    <r>
      <rPr>
        <sz val="8"/>
        <color theme="1"/>
        <rFont val="Calibri"/>
        <family val="2"/>
        <charset val="204"/>
        <scheme val="minor"/>
      </rPr>
      <t>UNCTAD B2.2   BPIs</t>
    </r>
  </si>
  <si>
    <t>Waste at the end of the reporting year</t>
  </si>
  <si>
    <t>Waste generation by hazard class and geography at LUKOIL Group</t>
  </si>
  <si>
    <t xml:space="preserve">Waste generated per year </t>
  </si>
  <si>
    <t xml:space="preserve">thousand tonnes </t>
  </si>
  <si>
    <t xml:space="preserve">BPIs </t>
  </si>
  <si>
    <t>ENV-7 А1</t>
  </si>
  <si>
    <t xml:space="preserve">    hazardous (Hazard classes I to III)</t>
  </si>
  <si>
    <r>
      <rPr>
        <sz val="10"/>
        <color theme="1"/>
        <rFont val="Calibri"/>
        <family val="2"/>
        <charset val="204"/>
        <scheme val="minor"/>
      </rPr>
      <t xml:space="preserve">    </t>
    </r>
    <r>
      <rPr>
        <sz val="10"/>
        <color theme="1"/>
        <rFont val="Calibri"/>
        <family val="2"/>
        <charset val="204"/>
        <scheme val="minor"/>
      </rPr>
      <t>non-hazardous and low-hazardous (Hazard classes IV to V)</t>
    </r>
  </si>
  <si>
    <t>GRI 306-3
SASB EM-RM-150a.1</t>
  </si>
  <si>
    <t xml:space="preserve">    non-hazardous and low-hazardous (Hazard classes IV to V)</t>
  </si>
  <si>
    <t xml:space="preserve">Oil Product Supply and Transportation </t>
  </si>
  <si>
    <t>UNCTAD B2.3</t>
  </si>
  <si>
    <t xml:space="preserve">     non-hazardous and low-hazardous (Hazard classes IV to V)</t>
  </si>
  <si>
    <t>Waste management at LUKOIL Group</t>
  </si>
  <si>
    <t>Total waste eliminated (1 = 1.1 + 1.2)</t>
  </si>
  <si>
    <t>1.1. Waste recovery</t>
  </si>
  <si>
    <t>GRI 306-4</t>
  </si>
  <si>
    <r>
      <rPr>
        <sz val="10"/>
        <color theme="1"/>
        <rFont val="Calibri"/>
        <family val="2"/>
        <charset val="204"/>
        <scheme val="minor"/>
      </rPr>
      <t xml:space="preserve">    </t>
    </r>
    <r>
      <rPr>
        <sz val="10"/>
        <color theme="1"/>
        <rFont val="Calibri"/>
        <family val="2"/>
        <charset val="204"/>
        <scheme val="minor"/>
      </rPr>
      <t>Waste disposed of at the LUKOIL Group entities</t>
    </r>
    <r>
      <rPr>
        <sz val="10"/>
        <color theme="1"/>
        <rFont val="Calibri"/>
        <family val="2"/>
        <charset val="204"/>
        <scheme val="minor"/>
      </rPr>
      <t xml:space="preserve"> (utilized)</t>
    </r>
  </si>
  <si>
    <t xml:space="preserve">    Transferred to third parties for recovery</t>
  </si>
  <si>
    <t>1.2. Waste neutralization and disposal</t>
  </si>
  <si>
    <t>GRI 306-5</t>
  </si>
  <si>
    <t>1.2.1. at the LUKOIL Group entities</t>
  </si>
  <si>
    <t xml:space="preserve">   Neutralized  </t>
  </si>
  <si>
    <t xml:space="preserve">   Landfilled </t>
  </si>
  <si>
    <t>Percentage of waste landfilled at the LUKOIL Group entities’ own disposal facilities in the total amount of waste disposed of in the reporting year</t>
  </si>
  <si>
    <t>1.2.2. by third parties / regional operator</t>
  </si>
  <si>
    <t xml:space="preserve">   Waste transferred for treatment</t>
  </si>
  <si>
    <t xml:space="preserve">   Waste transferred for disposal at third-party facilities </t>
  </si>
  <si>
    <t xml:space="preserve">      Waste transferred for neutralization</t>
  </si>
  <si>
    <t xml:space="preserve">Pre-privatization waste </t>
  </si>
  <si>
    <t>Waste eliminated in the reporting year</t>
  </si>
  <si>
    <t>GRI 306-2</t>
  </si>
  <si>
    <t>ENV-7 А3</t>
  </si>
  <si>
    <t>Note.</t>
  </si>
  <si>
    <t>In 2023, the year-end amount of waste at Russian entities increased due to the adjustment of the waste content in bottom sediments of ponds at mechanical treatment facilities of the Perm refinery.</t>
  </si>
  <si>
    <t>Contaminated land formation and reclamation</t>
  </si>
  <si>
    <t xml:space="preserve">UoM </t>
  </si>
  <si>
    <t>Land contaminated during the reporting year</t>
  </si>
  <si>
    <t>hectares</t>
  </si>
  <si>
    <t>GRI 101-2b 
SASB EM-MD-160a.3</t>
  </si>
  <si>
    <t>Land reclaimed during the reporting year</t>
  </si>
  <si>
    <t>GRI 101-2b
SASB EM-MD-160a.3</t>
  </si>
  <si>
    <t>Contaminated land area at the end of the reporting year</t>
  </si>
  <si>
    <t xml:space="preserve">             Industrial safety</t>
  </si>
  <si>
    <t>Indicators of the Russian LUKOIL Group entities’ preparedness for emergencies</t>
  </si>
  <si>
    <t>Number of trainings conducted</t>
  </si>
  <si>
    <t>trainings</t>
  </si>
  <si>
    <t>ENV-6 С4</t>
  </si>
  <si>
    <t xml:space="preserve">    Including training on the elimination of a potential oil/oil product spill</t>
  </si>
  <si>
    <t>Number of people involved in trainings</t>
  </si>
  <si>
    <t>Number of employees trained to act in case of an accident or emergency</t>
  </si>
  <si>
    <t>The “Number of people involved in trainings” indicator takes into account the following categories of participants: employees of the LUKOIL Group entities, personnel of emergency response teams, personnel of contractor (service) entities, employees of organizations with which trainings were held (during joint trainings).</t>
  </si>
  <si>
    <t>Reliability indicators of the pipeline system in Russia</t>
  </si>
  <si>
    <t>Percentage of corrosion-resistant pipelines</t>
  </si>
  <si>
    <t>The percentage of corrosion-resistant pipelines is calculated excluding inhibited protection pipelines. The data are provided for Russian entities. Formula: Total length of active corrosion-resistant field pipelines in Russia at the end of the reporting period / Total length of active field pipelines in Russia at the end of the reporting period.</t>
  </si>
  <si>
    <t>Oil and other substances spills at LUKOIL Group</t>
  </si>
  <si>
    <t xml:space="preserve">Volume of oil spilled in accidents </t>
  </si>
  <si>
    <t>tonnes</t>
  </si>
  <si>
    <t>GRI 306-3 (2016)
SASB EM-MD-160a.4</t>
  </si>
  <si>
    <t>ENV-6 С2</t>
  </si>
  <si>
    <t>Including as a result of significant oil spills</t>
  </si>
  <si>
    <t xml:space="preserve">Number of significant oil spills </t>
  </si>
  <si>
    <t>incidents</t>
  </si>
  <si>
    <t>GRI 306-3 (2016)
SASB EM-MD-540a.1</t>
  </si>
  <si>
    <t>Specific oil spill coefficient in Russia</t>
  </si>
  <si>
    <t>kg of spilled oil /1,000 tonnes of extracted oil and gas condensate</t>
  </si>
  <si>
    <t>Spills of other substances</t>
  </si>
  <si>
    <t>incl.:</t>
  </si>
  <si>
    <t xml:space="preserve">   Combustible-lubricative materials</t>
  </si>
  <si>
    <t>GRI 306-3 (2016)</t>
  </si>
  <si>
    <t xml:space="preserve">      Russian entities</t>
  </si>
  <si>
    <t xml:space="preserve">      Foreign entities</t>
  </si>
  <si>
    <t xml:space="preserve">   Highly toxic substances (acids, alkalis, process solutions)</t>
  </si>
  <si>
    <t xml:space="preserve">   Technological products </t>
  </si>
  <si>
    <t xml:space="preserve">   Other substances </t>
  </si>
  <si>
    <t>Size of emergency rescue teams (staff and non-staff) at the Russian LUKOIL Group entities</t>
  </si>
  <si>
    <t>Total</t>
  </si>
  <si>
    <t xml:space="preserve">people </t>
  </si>
  <si>
    <t>Komi Republic</t>
  </si>
  <si>
    <t>Khanty-Mansi Autonomous Area – Yugra, Yamal-Nenets Autonomous Area, Nenets Autonomous Area</t>
  </si>
  <si>
    <r>
      <rPr>
        <sz val="10"/>
        <color theme="1"/>
        <rFont val="Calibri"/>
        <family val="2"/>
        <charset val="204"/>
        <scheme val="minor"/>
      </rPr>
      <t>Astrakhan Region and Republic of Kalmykia</t>
    </r>
  </si>
  <si>
    <t xml:space="preserve">Perm Territory </t>
  </si>
  <si>
    <t>Volgograd Region</t>
  </si>
  <si>
    <t>Kaliningrad Region</t>
  </si>
  <si>
    <t xml:space="preserve">Stavropol Territory </t>
  </si>
  <si>
    <t>Other regions</t>
  </si>
  <si>
    <t xml:space="preserve">           Occupational safety</t>
  </si>
  <si>
    <t>Number of occupational accidents and employees injured in workplace accidents at the LUKOIL Group entities</t>
  </si>
  <si>
    <t>Total number of occupational accidents</t>
  </si>
  <si>
    <t xml:space="preserve">   fatal </t>
  </si>
  <si>
    <t>SHS-3 С1</t>
  </si>
  <si>
    <t>UNCTAD C3.2</t>
  </si>
  <si>
    <t xml:space="preserve">   high-consequence work-related injuries</t>
  </si>
  <si>
    <t xml:space="preserve">   minor injuries</t>
  </si>
  <si>
    <r>
      <rPr>
        <b/>
        <sz val="10"/>
        <color theme="1"/>
        <rFont val="Calibri"/>
        <family val="2"/>
        <scheme val="minor"/>
      </rPr>
      <t>Number of cases</t>
    </r>
    <r>
      <rPr>
        <sz val="10"/>
        <color theme="1"/>
        <rFont val="Calibri"/>
        <family val="2"/>
        <scheme val="minor"/>
      </rPr>
      <t xml:space="preserve"> resulting in microtraumas</t>
    </r>
  </si>
  <si>
    <t>GRI 403-9</t>
  </si>
  <si>
    <t>Number of employees injured who suffered microtraumas</t>
  </si>
  <si>
    <t>Number of employees injured in workplace accidents</t>
  </si>
  <si>
    <t xml:space="preserve">   Number of fatalities (FA) </t>
  </si>
  <si>
    <t>BPIs
   MED 28</t>
  </si>
  <si>
    <t xml:space="preserve">   Number of lost-time injuries (LTI), including</t>
  </si>
  <si>
    <t>MED 28</t>
  </si>
  <si>
    <t xml:space="preserve">      high-consequence injuries</t>
  </si>
  <si>
    <t xml:space="preserve">      minor injuries</t>
  </si>
  <si>
    <t>The term “workplace accident” is used in accordance with the Corporate Standard; it corresponds to Article 227 of the Russian Labor Code and is similar to the term “Occupational Accident” according to the International Labor Organization methodology. When calculating the injury frequency, a group accident is counted as one incident. The term “employee injured” is used to mean “an employee who was injured in a workplace accident” (injury). If during the reporting period an employee suffered more than one injury, each case is counted as a separate injury. Microtrauma is not counted as an accident.</t>
  </si>
  <si>
    <t>The “Number of employees injured in workplace accidents and who suffered microtraumas” and “Number of employees injured who suffered microtraumas” indicators are calculated taking into account first-aid cases only in accordance with the corporate accounting system.</t>
  </si>
  <si>
    <t>Indicators related to occupational injuries at LUKOIL Group</t>
  </si>
  <si>
    <t>Lost Time Accident Frequency Rate (LTAFR)</t>
  </si>
  <si>
    <t>Lost Time Injury Frequency Rate (LTIFR)</t>
  </si>
  <si>
    <t>Fatal Injury Frequency Rate (FIFR)</t>
  </si>
  <si>
    <t xml:space="preserve">   Exploration and Production </t>
  </si>
  <si>
    <t>SASB EM-EP-320a.1</t>
  </si>
  <si>
    <t xml:space="preserve">   Oil Refining and Petrochemicals </t>
  </si>
  <si>
    <t>SASB EM-RM-320a.1</t>
  </si>
  <si>
    <t>Rate of high-consequence injuries (net of fatalities)</t>
  </si>
  <si>
    <t>Total Recordable Injury Frequency Rate (TRIFR)</t>
  </si>
  <si>
    <t xml:space="preserve">SASB EM-EP-320a.1 </t>
  </si>
  <si>
    <t>The lower all the indicators are the better. Full-time employee (FTE) coverage is 100%.</t>
  </si>
  <si>
    <t>Lost Time Accident Frequency Rate, LTAFR = Number of accidents х 1,000 employees / Average employee headcount.</t>
  </si>
  <si>
    <t>Lost Time Injury Frequency Rate, LTIFR = Number of employees injured in workplace accidents (including fatalities) х 1,000,000 man-hours / Number of man-hours worked by all employees.</t>
  </si>
  <si>
    <t>Rate of Fatalities as a Result of Work-Related Injury = Number of fatalities х 1,000,000 man-hours / Number of man-hours worked by all employees.</t>
  </si>
  <si>
    <t>Total Recordable Injury Frequency Rate, TRIFR = Number of employees injured in workplace accidents and who suffered microtraumas x 1,000,000 man-hours / Number of man-hours worked by all employees. The cases with only first aid administered are counted when calculating the indicator in accordance with the corporate accounting system.</t>
  </si>
  <si>
    <t>Number of hours worked by employees of LUKOIL Group</t>
  </si>
  <si>
    <t>Number of man-hours worked</t>
  </si>
  <si>
    <t>mln man-hours</t>
  </si>
  <si>
    <t>Occupational illness at the Russian entities of LUKOIL Group</t>
  </si>
  <si>
    <t>Occupational disease rate (ODR)</t>
  </si>
  <si>
    <t xml:space="preserve">    per 1,000 employees</t>
  </si>
  <si>
    <t>SHS-3 А1</t>
  </si>
  <si>
    <t xml:space="preserve">    per 1,000,000 man-hours</t>
  </si>
  <si>
    <t>Number of employees with newly diagnosed occupational diseases</t>
  </si>
  <si>
    <t>GRI 403-10</t>
  </si>
  <si>
    <t>Occupational disease rate (ODR) = Number of persons with newly diagnosed occupational diseases * 1,000 employees / Average headcount.</t>
  </si>
  <si>
    <t>Occupational disease rate (ODR) = Number of persons with newly diagnosed occupational diseases * 1,000,000 man-hours / Number of man-hours worked.</t>
  </si>
  <si>
    <t>The Company understands the indicator “The number of cases of recordable work-related ill health” (GRI) as the number of employees with newly diagnosed occupational diseases, as this formulation of the indicator ensures collection of reliable data characterizing the social impacts of the Group entities and is used when planning measures to protect employees’ health.</t>
  </si>
  <si>
    <t>Number of occupational accidents and employees with work-related injuries at contractor organizations of LUKOIL Group</t>
  </si>
  <si>
    <r>
      <rPr>
        <b/>
        <sz val="10"/>
        <color rgb="FF000000"/>
        <rFont val="Calibri"/>
        <family val="2"/>
      </rPr>
      <t>Number of accidents</t>
    </r>
    <r>
      <rPr>
        <sz val="10"/>
        <color rgb="FF000000"/>
        <rFont val="Calibri"/>
        <family val="2"/>
      </rPr>
      <t xml:space="preserve"> </t>
    </r>
  </si>
  <si>
    <t xml:space="preserve">    fatal</t>
  </si>
  <si>
    <r>
      <rPr>
        <b/>
        <sz val="10"/>
        <color rgb="FF000000"/>
        <rFont val="Calibri"/>
        <family val="2"/>
      </rPr>
      <t>Number of employees injured</t>
    </r>
    <r>
      <rPr>
        <sz val="10"/>
        <color rgb="FF000000"/>
        <rFont val="Calibri"/>
        <family val="2"/>
      </rPr>
      <t xml:space="preserve"> in workplace accidents</t>
    </r>
    <r>
      <rPr>
        <sz val="10"/>
        <color rgb="FF000000"/>
        <rFont val="Calibri"/>
        <family val="2"/>
      </rPr>
      <t xml:space="preserve"> </t>
    </r>
  </si>
  <si>
    <t xml:space="preserve">   Number of lost-time injuries (LTI) </t>
  </si>
  <si>
    <t xml:space="preserve">      Including high-consequence injuries</t>
  </si>
  <si>
    <t xml:space="preserve">      Including minor injuries</t>
  </si>
  <si>
    <t>The Company does not collect information on the number of employees of contractor organizations who suffered microtraumas.</t>
  </si>
  <si>
    <t xml:space="preserve">            Employees details</t>
  </si>
  <si>
    <t>Headcount and personnel characteristics</t>
  </si>
  <si>
    <t>Social support</t>
  </si>
  <si>
    <t>Training</t>
  </si>
  <si>
    <t>Payroll and personnel costs</t>
  </si>
  <si>
    <t xml:space="preserve">Average headcount of LUKOIL Group </t>
  </si>
  <si>
    <t>GRI 2-7</t>
  </si>
  <si>
    <t>BPIs 
 MED 25</t>
  </si>
  <si>
    <t xml:space="preserve">LUKOIL Group headcount (as at December 31 of each reporting year) </t>
  </si>
  <si>
    <t>Employee turnover at LUKOIL Group</t>
  </si>
  <si>
    <t>GRI 401-1</t>
  </si>
  <si>
    <t>SOC-6 A1</t>
  </si>
  <si>
    <t>BPIs
MED 33</t>
  </si>
  <si>
    <t xml:space="preserve">    Men</t>
  </si>
  <si>
    <t xml:space="preserve">    Women</t>
  </si>
  <si>
    <t xml:space="preserve">Information on newly hired employees </t>
  </si>
  <si>
    <t xml:space="preserve">   Men</t>
  </si>
  <si>
    <t xml:space="preserve">   Women</t>
  </si>
  <si>
    <t>Percentage of men hired</t>
  </si>
  <si>
    <t>Percentage of women hired</t>
  </si>
  <si>
    <t xml:space="preserve">Personnel characteristics by gender as at December 31 of each reporting year </t>
  </si>
  <si>
    <t>LUKOIL Group personnel by gender categories</t>
  </si>
  <si>
    <t>SOC-5 С2</t>
  </si>
  <si>
    <t>Percentage of men / women in the headcount at LUKOIL Group</t>
  </si>
  <si>
    <t>GRI 405-1</t>
  </si>
  <si>
    <t>Percentage of men / women in the Russian entities’ headcount</t>
  </si>
  <si>
    <t>Percentage of men / women in the foreign entities’ headcount</t>
  </si>
  <si>
    <t xml:space="preserve">Personnel characteristics by type of employment as at December 31 of each reporting year </t>
  </si>
  <si>
    <t>Full-time</t>
  </si>
  <si>
    <t>Part-time</t>
  </si>
  <si>
    <t>Percentage of employees in each employment category in the LUKOIL Group’s headcount</t>
  </si>
  <si>
    <t xml:space="preserve">    Full-time</t>
  </si>
  <si>
    <t xml:space="preserve">    Part-time</t>
  </si>
  <si>
    <t>Percentage of employees in each employment category in the Russian entities’ headcount</t>
  </si>
  <si>
    <t>Percentage of employees in each employment category in the foreign entities’ headcount</t>
  </si>
  <si>
    <t xml:space="preserve">Personnel characteristics of LUKOIL Group by type of employment contract as at December 31 of each reporting year </t>
  </si>
  <si>
    <t>Permanent contract</t>
  </si>
  <si>
    <t>Percentage of employees in the category “Permanent contract” in the headcount</t>
  </si>
  <si>
    <t xml:space="preserve">    Men </t>
  </si>
  <si>
    <t xml:space="preserve">    Percentage in the headcount of men</t>
  </si>
  <si>
    <t xml:space="preserve">    Women </t>
  </si>
  <si>
    <t xml:space="preserve">    Percentage in the headcount of women</t>
  </si>
  <si>
    <t>Fixed-term contract</t>
  </si>
  <si>
    <t>Percentage of employees in the category “Fixed-term contract” in the headcount</t>
  </si>
  <si>
    <t>Personnel characteristics of LUKOIL Group by category as at December 31 of each reporting year</t>
  </si>
  <si>
    <t>Headcount of LUKOIL Group</t>
  </si>
  <si>
    <t xml:space="preserve">    Specialists</t>
  </si>
  <si>
    <t>Personnel characteristics of LUKOIL Group by age as at December 31 of each reporting year</t>
  </si>
  <si>
    <t>LUKOIL Group employees by age</t>
  </si>
  <si>
    <t xml:space="preserve">    35 years or under</t>
  </si>
  <si>
    <t xml:space="preserve">    36 to 40 years</t>
  </si>
  <si>
    <t xml:space="preserve">    41 to 50 years</t>
  </si>
  <si>
    <t xml:space="preserve">    51 years and older</t>
  </si>
  <si>
    <t>Indicators related to working with young employees and professionals</t>
  </si>
  <si>
    <t>Number of young employees</t>
  </si>
  <si>
    <t xml:space="preserve">SOC-5 </t>
  </si>
  <si>
    <t xml:space="preserve">   number of young professionals</t>
  </si>
  <si>
    <t>Young employees recruited</t>
  </si>
  <si>
    <t xml:space="preserve">   young professionals</t>
  </si>
  <si>
    <t>Number of students studying under agreements with the LUKOIL Group entities</t>
  </si>
  <si>
    <t>Young employees are employees of PJSC LUKOIL and the LUKOIL Group entities under the age of 35, including young professionals. Young professionals are employees under 30 years of age with a higher or secondary vocational education, who have started working for a LUKOIL Group entity in the area of their education, including blue-collar jobs, within a year after graduation.</t>
  </si>
  <si>
    <t>Other characteristics of LUKOIL Group personnel as at December 31 of each reporting year</t>
  </si>
  <si>
    <t>2020</t>
  </si>
  <si>
    <t>Breakdown of employees by region</t>
  </si>
  <si>
    <t xml:space="preserve">    Russia</t>
  </si>
  <si>
    <t xml:space="preserve">    Europe</t>
  </si>
  <si>
    <t xml:space="preserve">    Asia</t>
  </si>
  <si>
    <t xml:space="preserve">    Middle East and Africa</t>
  </si>
  <si>
    <t xml:space="preserve">    North America</t>
  </si>
  <si>
    <t>Breakdown of employees by LUKOIL Group business activity</t>
  </si>
  <si>
    <t xml:space="preserve">   Oil Product Supply and Transportation, as well as other entities related to the Refining and Distribution business segment</t>
  </si>
  <si>
    <t xml:space="preserve">   Corporate Center and Other Activities</t>
  </si>
  <si>
    <t>Percentage of female managers in the total number of managers of the respective level at the LUKOIL Group entities</t>
  </si>
  <si>
    <t>MED 44</t>
  </si>
  <si>
    <t>Employee category</t>
  </si>
  <si>
    <t>CEO of a LUKOIL Group entity</t>
  </si>
  <si>
    <t>SOC-5 C2</t>
  </si>
  <si>
    <t>UNCTAD C1.1</t>
  </si>
  <si>
    <t>Deputy CEO, Chief Engineer, Chief Accountant</t>
  </si>
  <si>
    <t>Head of a branch, TPU, or another standalone business unit</t>
  </si>
  <si>
    <t>Heads of departments (excluding mentioned above)</t>
  </si>
  <si>
    <t xml:space="preserve">Information on managers from among locals in the foreign entities of LUKOIL Group  </t>
  </si>
  <si>
    <t>in significant operating regions as at December 31 of each reporting year</t>
  </si>
  <si>
    <t>Senior managers</t>
  </si>
  <si>
    <t xml:space="preserve">   including from among locals</t>
  </si>
  <si>
    <t>GRI 202-2</t>
  </si>
  <si>
    <t>Percentage of employees covered by collective bargaining agreements at LUKOIL Group</t>
  </si>
  <si>
    <t>Percentage of employees covered by collective bargaining agreements in the LUKOIL Group entities</t>
  </si>
  <si>
    <t>GRI 2-30</t>
  </si>
  <si>
    <t xml:space="preserve">BPIs
UNCTAD C4.1
MED 32 </t>
  </si>
  <si>
    <t>Percentage of employees covered by collective bargaining agreements in the Russian entities</t>
  </si>
  <si>
    <t xml:space="preserve">BPIs
MED 32 </t>
  </si>
  <si>
    <t xml:space="preserve">Notes.  </t>
  </si>
  <si>
    <t>The percentage of employees covered by collective bargaining agreements (at LUKOIL Group or its Russian entities) is calculated as at the end of the reporting year using the following formula: Headcount of employees in the LUKOIL Group entities or Russian entities, respectively, that have collective bargaining agreements / Headcount of employees (in the LUKOIL Group entities or Russian entities, respectively).</t>
  </si>
  <si>
    <t>Scope of services provided under social programs at LUKOIL Group</t>
  </si>
  <si>
    <t xml:space="preserve">LUKOIL Group </t>
  </si>
  <si>
    <t>services</t>
  </si>
  <si>
    <t xml:space="preserve">GRI 401-2 </t>
  </si>
  <si>
    <t xml:space="preserve">    Health protection</t>
  </si>
  <si>
    <t xml:space="preserve">    Social support for families with children</t>
  </si>
  <si>
    <t xml:space="preserve">    Non-state pension coverage</t>
  </si>
  <si>
    <t xml:space="preserve">    Support for retirees</t>
  </si>
  <si>
    <t xml:space="preserve">    Other</t>
  </si>
  <si>
    <t xml:space="preserve">A service provided to an employee under social programs means each employee’s request (initial or repeated) for any type of social benefits and payments stipulated by collective bargaining agreements. Services include various types of social support and assistance provided in cash and in kind, or payment of money to receive a service or to compensate for its cost. </t>
  </si>
  <si>
    <t>In 2021, the methodology for calculating the indicator was revised: housing-related services were added to the “Other” category.</t>
  </si>
  <si>
    <t>For reporting purposes, when calculating the total value of services provided under social programs, the indicators in the “Non-state pension coverage” and “Support for retirees” categories are determined on the assumption that there is one service per person.</t>
  </si>
  <si>
    <t>Non-state pension coverage</t>
  </si>
  <si>
    <t>Pension liabilities, LUKOIL Group</t>
  </si>
  <si>
    <t>Number of former employees receiving a corporate pension, in Russia</t>
  </si>
  <si>
    <t>Average non-state (corporate) pension level in Russia</t>
  </si>
  <si>
    <t>RUB/month</t>
  </si>
  <si>
    <t>Employee training at the LUKOIL Group entities</t>
  </si>
  <si>
    <t>Scope of training</t>
  </si>
  <si>
    <t>UNCTAD C2.1</t>
  </si>
  <si>
    <t xml:space="preserve">Training hours </t>
  </si>
  <si>
    <t>thousand hours</t>
  </si>
  <si>
    <t>SOC-7</t>
  </si>
  <si>
    <t>Number of trained employees</t>
  </si>
  <si>
    <t>thousand people</t>
  </si>
  <si>
    <t>Average number of training hours per employee trained</t>
  </si>
  <si>
    <t>hours/person</t>
  </si>
  <si>
    <t>GRI 404-1</t>
  </si>
  <si>
    <t>BPIs
UNCTAD C2.1
MED 31</t>
  </si>
  <si>
    <t>Average annual training costs per employee trained</t>
  </si>
  <si>
    <t>RUB/person</t>
  </si>
  <si>
    <t>UNCTAD C2.2</t>
  </si>
  <si>
    <t xml:space="preserve">The training data include information on all types of training, including distance learning programs. Average number of training hours per employee trained = Total number of hours of training events held at Russian and foreign entities / Total number of employees who received training in the reporting year. Average annual training costs per employee trained = Total costs to train employees who received training in the reporting year / Total number of employees who received training in the reporting year. </t>
  </si>
  <si>
    <t>Employee training at the LUKOIL Group entities under distance learning programs</t>
  </si>
  <si>
    <t>Training hours</t>
  </si>
  <si>
    <t>GRI 404-2</t>
  </si>
  <si>
    <t>By employee category</t>
  </si>
  <si>
    <t>Average salaries at the Russian LUKOIL Group entities</t>
  </si>
  <si>
    <t>Average salary in the region</t>
  </si>
  <si>
    <t>Ratio</t>
  </si>
  <si>
    <t>Regions where production facilities are located</t>
  </si>
  <si>
    <t xml:space="preserve">Astrakhan Region </t>
  </si>
  <si>
    <t>RUB</t>
  </si>
  <si>
    <t xml:space="preserve">Volgograd Region </t>
  </si>
  <si>
    <t xml:space="preserve">Kaliningrad Region </t>
  </si>
  <si>
    <t>Nenets Autonomous Area</t>
  </si>
  <si>
    <t xml:space="preserve">Nizhny Novgorod Region </t>
  </si>
  <si>
    <t xml:space="preserve">Komi Republic </t>
  </si>
  <si>
    <t>Samara Region</t>
  </si>
  <si>
    <t xml:space="preserve">Saratov Region </t>
  </si>
  <si>
    <t>Khanty-Mansi Autonomous Area – Yugra</t>
  </si>
  <si>
    <t>Yamal-Nenets Autonomous Area</t>
  </si>
  <si>
    <t xml:space="preserve">Krasnodar Territory </t>
  </si>
  <si>
    <t>Tyumen Region</t>
  </si>
  <si>
    <t>Rostov Region</t>
  </si>
  <si>
    <r>
      <rPr>
        <b/>
        <sz val="10"/>
        <color theme="1"/>
        <rFont val="Calibri"/>
        <family val="2"/>
        <charset val="204"/>
        <scheme val="minor"/>
      </rPr>
      <t>Regions where oil product supply entities and service and management entities are located</t>
    </r>
  </si>
  <si>
    <t>Moscow (excluding PJSC LUKOIL)</t>
  </si>
  <si>
    <t>Republic of Bashkortostan</t>
  </si>
  <si>
    <t>Vologda Region</t>
  </si>
  <si>
    <t>Moscow Region</t>
  </si>
  <si>
    <t>Saint-Petersburg (city)</t>
  </si>
  <si>
    <t>Sverdlovsk Region</t>
  </si>
  <si>
    <t>Chelyabinsk Region</t>
  </si>
  <si>
    <t>Republic of Udmurtia</t>
  </si>
  <si>
    <r>
      <rPr>
        <b/>
        <sz val="10"/>
        <color rgb="FF000000"/>
        <rFont val="Calibri Light"/>
        <family val="2"/>
      </rPr>
      <t>Notes.</t>
    </r>
    <r>
      <rPr>
        <sz val="10"/>
        <color rgb="FF000000"/>
        <rFont val="Calibri Light"/>
        <family val="2"/>
      </rPr>
      <t xml:space="preserve"> </t>
    </r>
  </si>
  <si>
    <t>The average salary in the regions of operation is given for January through December of each reporting year.</t>
  </si>
  <si>
    <t>The “Ratio” columns provide indicators that reflect the ratio of average salary at the LUKOIL Group entities to average salary in the relevant region of presence.</t>
  </si>
  <si>
    <t>LUKOIL Group staff costs</t>
  </si>
  <si>
    <t xml:space="preserve">   Payroll</t>
  </si>
  <si>
    <t>BPIs
   MED 24</t>
  </si>
  <si>
    <t xml:space="preserve">   Social benefits and payments, social support for employees</t>
  </si>
  <si>
    <t xml:space="preserve">   Training</t>
  </si>
  <si>
    <t>BPIs 
 MED 30</t>
  </si>
  <si>
    <t>Including in the Russian entities</t>
  </si>
  <si>
    <t xml:space="preserve">BPIs  
 </t>
  </si>
  <si>
    <t>Expenses on social benefits and payments and social support for employees include payments under collective bargaining agreements but do not include social payments made from the payroll fund.</t>
  </si>
  <si>
    <t xml:space="preserve">               Corporate governance</t>
  </si>
  <si>
    <t>Composition of the Board of Directors of PJSC LUKOIL</t>
  </si>
  <si>
    <t>Chairman of the Board of Directors</t>
  </si>
  <si>
    <t>GRI 2-9</t>
  </si>
  <si>
    <t>Independence of the Chairman of the Board of Directors at appointment</t>
  </si>
  <si>
    <t>No</t>
  </si>
  <si>
    <t>Independent directors</t>
  </si>
  <si>
    <t>Non-executive directors</t>
  </si>
  <si>
    <t>Executive directors</t>
  </si>
  <si>
    <t>Total number of Board members</t>
  </si>
  <si>
    <t>MED 37</t>
  </si>
  <si>
    <t>Percentage of independent directors</t>
  </si>
  <si>
    <t xml:space="preserve">Number of sustainability and climate-related issues addressed at Board of Directors meetings </t>
  </si>
  <si>
    <t>issues</t>
  </si>
  <si>
    <t>UNCTAD D1.4  
BPIs</t>
  </si>
  <si>
    <r>
      <rPr>
        <b/>
        <sz val="10"/>
        <color rgb="FF000000"/>
        <rFont val="Calibri"/>
        <family val="2"/>
        <charset val="204"/>
        <scheme val="minor"/>
      </rPr>
      <t>Note.</t>
    </r>
    <r>
      <rPr>
        <sz val="10"/>
        <color rgb="FF000000"/>
        <rFont val="Calibri"/>
        <family val="2"/>
        <charset val="204"/>
        <scheme val="minor"/>
      </rPr>
      <t xml:space="preserve">   </t>
    </r>
  </si>
  <si>
    <t xml:space="preserve">In accordance with the recommendations of the Corporate Governance Code of the Bank of Russia, executive directors are defined as persons employed by the Company. </t>
  </si>
  <si>
    <t>Percentage of independent members of the Board of Directors committees</t>
  </si>
  <si>
    <t>Strategy, Investment, Sustainability and Climate Adaptation Committee of the Board of Directors</t>
  </si>
  <si>
    <t xml:space="preserve">Audit Committee </t>
  </si>
  <si>
    <t xml:space="preserve">Human Resources and Compensation Committee </t>
  </si>
  <si>
    <t>Composition of the Board of Directors of PJSC LUKOIL by gender</t>
  </si>
  <si>
    <t>Men</t>
  </si>
  <si>
    <t>Women</t>
  </si>
  <si>
    <t>UNCTAD D1.2</t>
  </si>
  <si>
    <t>Percentage of women</t>
  </si>
  <si>
    <t>Composition of the Board of Directors of PJSC LUKOIL by age</t>
  </si>
  <si>
    <t xml:space="preserve">Under 30 </t>
  </si>
  <si>
    <t xml:space="preserve">30 to 50 years </t>
  </si>
  <si>
    <t>50 years and older</t>
  </si>
  <si>
    <t>Qualification balance of the Board of Directors members of PJSC LUKOIL</t>
  </si>
  <si>
    <t>Percentage of members of the Board of Directors of PJSC LUKOIL competent in sustainability and climate-related issues</t>
  </si>
  <si>
    <t>Strategy, Investment, Sustainability and Climate Adaptation Committee of the Board of Directors of PJSC LUKOIL</t>
  </si>
  <si>
    <t>Number of members</t>
  </si>
  <si>
    <t>Number of meetings (in-person and remote)</t>
  </si>
  <si>
    <t>meetings</t>
  </si>
  <si>
    <t>UNCTAD D1.4</t>
  </si>
  <si>
    <t>Number of sustainability and climate-related issues addressed</t>
  </si>
  <si>
    <t>Persons responsible</t>
  </si>
  <si>
    <r>
      <rPr>
        <sz val="10"/>
        <color theme="1"/>
        <rFont val="Calibri"/>
        <family val="2"/>
        <charset val="204"/>
        <scheme val="minor"/>
      </rPr>
      <t xml:space="preserve">Number of </t>
    </r>
    <r>
      <rPr>
        <sz val="10"/>
        <color theme="1"/>
        <rFont val="Calibri (Основной текст)"/>
        <charset val="204"/>
      </rPr>
      <t>top-level officers</t>
    </r>
    <r>
      <rPr>
        <sz val="10"/>
        <color theme="1"/>
        <rFont val="Calibri"/>
        <family val="2"/>
        <charset val="204"/>
        <scheme val="minor"/>
      </rPr>
      <t xml:space="preserve"> </t>
    </r>
    <r>
      <rPr>
        <sz val="10"/>
        <color theme="1"/>
        <rFont val="Calibri"/>
        <family val="2"/>
        <charset val="204"/>
        <scheme val="minor"/>
      </rPr>
      <t>responsible for sustainability issues</t>
    </r>
  </si>
  <si>
    <t>Health, Safety and Environmental Committee of PJSC LUKOIL</t>
  </si>
  <si>
    <t>Task Forces (number of members)</t>
  </si>
  <si>
    <t>Decarbonization and Climate Change Adaptation Task Force</t>
  </si>
  <si>
    <t>Sustainability Task Force</t>
  </si>
  <si>
    <t>Quality of corporate governance</t>
  </si>
  <si>
    <t>Incidents of corruption and theft (number of cases completed in the reporting year)</t>
  </si>
  <si>
    <t>GRI 2-27 
GRI 205-3</t>
  </si>
  <si>
    <t>MED 43</t>
  </si>
  <si>
    <t>Incidents of violation of antitrust laws (number of significant cases completed in the reporting year)</t>
  </si>
  <si>
    <t>GRI 206-1
SASB EM-RM-520a.1</t>
  </si>
  <si>
    <r>
      <rPr>
        <sz val="10"/>
        <color theme="1"/>
        <rFont val="Calibri"/>
        <family val="2"/>
        <charset val="204"/>
        <scheme val="minor"/>
      </rPr>
      <t xml:space="preserve">Number of </t>
    </r>
    <r>
      <rPr>
        <sz val="10"/>
        <color theme="1"/>
        <rFont val="Calibri (Основной текст)"/>
        <charset val="204"/>
      </rPr>
      <t>employee</t>
    </r>
    <r>
      <rPr>
        <sz val="10"/>
        <color theme="1"/>
        <rFont val="Calibri"/>
        <family val="2"/>
        <charset val="204"/>
        <scheme val="minor"/>
      </rPr>
      <t xml:space="preserve"> appeals on corporate ethics, </t>
    </r>
    <r>
      <rPr>
        <sz val="10"/>
        <color theme="1"/>
        <rFont val="Calibri (Основной текст)"/>
        <charset val="204"/>
      </rPr>
      <t>labor relations</t>
    </r>
    <r>
      <rPr>
        <sz val="10"/>
        <color theme="1"/>
        <rFont val="Calibri"/>
        <family val="2"/>
        <charset val="204"/>
        <scheme val="minor"/>
      </rPr>
      <t xml:space="preserve"> and human rights issues reviewed</t>
    </r>
  </si>
  <si>
    <t>appeals</t>
  </si>
  <si>
    <t>8*</t>
  </si>
  <si>
    <t>GRI 2-26</t>
  </si>
  <si>
    <t>Number of incidents of human rights violations (including those related to discrimination)</t>
  </si>
  <si>
    <t>GRI 2-27
GRI 406-1</t>
  </si>
  <si>
    <t>ESRS</t>
  </si>
  <si>
    <t>European Sustainability Reporting Standards</t>
  </si>
  <si>
    <t xml:space="preserve">In 2024, the Decarbonization and Climate Change Adaptation Task Force of PJSC LUKOIL decided to revise the base year (2017) indicators due to changes in the organizational boundaries of GHG accounting (asset retirement and reorganization). A unified methodological approach was applied to the retrospective recalculation of the indicators, and a unified methodological approach to calculating GHG emissions by component composition was applied. For all indicators provided in this ESG Databook section, the organizational GHG emissions reporting boundaries (Scope 1 + Scope 2) for the Russian entities include all of the Oil and Gas Production entities (with PJSC LUKOIL's share more 50%, operational control), Oil Refining, Petrochemicals, and Power Generation entities, as well as LLC LLK-International (production of lubricants), and three Transportation entities.  For the foreign entities, the reporting boundaries include the hydrocarbon production project in Uzbekistan (LUKOIL Uzbekistan Operating Company LLC) and two refineries in Europe (in Romania and Bulgaria). 
</t>
  </si>
  <si>
    <r>
      <t>For Scopes 1 and 2, global warming potentials for 2017 and 2024 were determined in accordance with the IPCC 5th Assessment Report: for methane, GWP = 28 t of CO</t>
    </r>
    <r>
      <rPr>
        <vertAlign val="subscript"/>
        <sz val="10"/>
        <color theme="1"/>
        <rFont val="Calibri Light"/>
        <family val="2"/>
      </rPr>
      <t>2</t>
    </r>
    <r>
      <rPr>
        <sz val="10"/>
        <color theme="1"/>
        <rFont val="Calibri Light"/>
        <family val="2"/>
      </rPr>
      <t>e/t; for nitrogen monoxide, GWP = 265 t of CO</t>
    </r>
    <r>
      <rPr>
        <vertAlign val="subscript"/>
        <sz val="10"/>
        <color theme="1"/>
        <rFont val="Calibri Light"/>
        <family val="2"/>
      </rPr>
      <t>2</t>
    </r>
    <r>
      <rPr>
        <sz val="10"/>
        <color theme="1"/>
        <rFont val="Calibri Light"/>
        <family val="2"/>
      </rPr>
      <t>e/t</t>
    </r>
  </si>
  <si>
    <t>The data for Oil Refining and Petrochemicals include the data on the Oil Refining, Petrochemicals, Gas Chemicals, Production of Lubricants entities.</t>
  </si>
  <si>
    <t>APG utilization and flaring at the Russian entities of LUKOIL Group</t>
  </si>
  <si>
    <t>CCE-4  С2</t>
  </si>
  <si>
    <t>CCE-4  С3</t>
  </si>
  <si>
    <t xml:space="preserve">The data for Oil Refining and Petrochemicals include the data on the Oil Refining, Petrochemicals, Gas Chemicals, Production of Lubricants entities. </t>
  </si>
  <si>
    <t>Avoided GHG emissions mean the GHG emissions that did not occur for external consumers from purchased electricity produced at renewable energy facilities of LUKOIL Group and supplied to the network. Since 2024, the data do not include Land Power due to its disposal.</t>
  </si>
  <si>
    <t xml:space="preserve">Starting from 2024, the "Renewable energy consumption for production purposes" indicator broken down by Russian and foreign entities of LUKOIL Group is reported subject to the following adjustment: data for LLC LLK-International are broken down by geography (RES-generated energy consumption outside Russia is accounted for in the Foreign entities category). Up to and including 2023, RES-generated energy consumption in LLC LLK-International was accounted for according to the legal jurisdiction of that entity.	</t>
  </si>
  <si>
    <t xml:space="preserve">The Energy Intensity calculation formula in the Exploration and Production business segment:  Total energy consumption for production purposes / Total production of oil and gas condensate, natural gas and APG, and liquid hydrocarbons produced at the Lokosovsky gas-processing plant (due to the technological specifics of hydrocarbon production at LLC LUKOIL-West Siberia). </t>
  </si>
  <si>
    <t>In line with the corporate methodology, the EII reflects the ratio of the actual energy consumption at LUKOIL refineries to the standard energy consumption of refineries with similar capacity, configuration, and operating conditions. The indicator covers all sources of energy consumed at refineries (electricity, heat energy, fuel).</t>
  </si>
  <si>
    <t>Investments in RES projects as percentage of CAPEX in the Power Generation business sector</t>
  </si>
  <si>
    <t>The “Percentage of income from sales of renewable electric energy” indicator = Revenue received from sales of renewable electric energy / Revenue received from the sale of electric energy produced by commercial generation facilities of LUKOIL Group.  The change in the “Percentage of income from sales of renewable electric energy” indicator in 2024 is due to the disposal of the Land Power 84 MW asset, as well as amendments to the Russian legislation, pursuant to which free bilateral contracts for supplying green electricity were replaced with Green Certificates sales starting from February 1, 2024; however, income from sales of Green Certificates is not included in income from sales of electric energy.</t>
  </si>
  <si>
    <t>entities</t>
  </si>
  <si>
    <t xml:space="preserve">Almost all of the withdrawn water is taken from the own water intakes of LUKOIL entities. In Russia, water is mainly withdrawn from the Ob, Pechora, Volga, Don, and Kuban river basins in accordance with relevant permits.				</t>
  </si>
  <si>
    <t>For the purposes of calculating the “Water usage for own needs by business activity...” indicator, LLC LLK-International and LLC INTESMO (business activity of both entities is lubricants production) are accounted for together with the Oil Refining and Petrochemicals entities; LLC LUKOIL-AERO (business activity: aircraft bunkering operations) is accounted for together with Oil Product Supply and Transportation entities. In the organizational structure of LUKOIL Group, all three entities are included in the Other Entities Related to the Refining and Distribution Business Segment business sector.</t>
  </si>
  <si>
    <t>In 2021, the data on LLC KGPZ were included in the Oil Refining and Petrochemicals business sector, as that entity was reorganized and merged with LLC LUKOIL-Volgogradneftepererabotka, and the data for 2020 were retrospectively recalculated. In 2021,  LLC LUKOIL-AERO was excluded from the calculation in connection with its liquidation.</t>
  </si>
  <si>
    <t>In 2023, a significant decline in water usage in Oil Refining and Petrochemicals was due to the disposal of the refinery in Italy. The growth in water usage in Oil Product Supply is mainly due to the expansion of services provided to customers at filling stations and the resulting increase in customer traffic, as well as the opening of large new-style facilities. Water usage indicators in Transportation are consistent with the data for 2022.</t>
  </si>
  <si>
    <t>In Russia, waste is classified into hazard classes (I to V) according to the criteria approved by the Ministry of Natural Resources and Environment of the Russian Federation, and all waste is considered hazardous.  A similar accounting system has been adopted in Uzbekistan. Most substances categorized as hazardous waste in the international accounting system are contained in waste of Hazard classes I and II. The division of waste generated by the Russian entities and LUKOIL Uzbekistan Operating Company LLC into hazardous and non-hazardous is conditional and was made solely for reporting purposes in response to stakeholders’ requests.</t>
  </si>
  <si>
    <t xml:space="preserve">For all indicators provided in this ESG Databook section, the reporting boundaries for foreign entities through 2022 include the following assets: LUKOIL Neftochim Burgas, PETROTEL-LUKOIL SA, and ISAB S.r.l (three refineries in the European Union), as well as LUKOIL Uzbekistan Operating Company LLC (hydrocarbon production project in the Republic of Uzbekistan), IOOO LUKOIL Belorussia, and LUKOIL-BULGARIA EOOD (filling stations in Bulgaria and Belarus). Starting from 2023, the refinery in Italy (ISAB S.r.l) has been excluded due to its disposal.
The reporting boundaries for Russian entities include all the Exploration and Production, Oil Refining and Petrochemicals, Power Generation, Oil Products Supply, and Transportation entities and additionally include LLC Volgodonsk Heat Supply Networks since 2021, LLC INTESMO since 2022, LLC Rostov Heat Supply Networks and LLC Volzhskiye Heat Supply Networks since 2023, LLC Teboil Rus and LLC EPU Service since 2024.			 </t>
  </si>
  <si>
    <t xml:space="preserve">Air pollutant emissions intensity by the Russian entities of LUKOIL Group by business activity  </t>
  </si>
  <si>
    <t>Pollutant emissions intensity in the Power Generation business segment are calculated using the following formula: Total of pollutant emissions / Fuel consumed for power product generation (electricity and heat). LLC LUKOIL-Ekoenergo, LLC LUKOIL-Energoseti, and LLC Volzhskiye Heat Supply Networks were excluded from the calculation.</t>
  </si>
  <si>
    <t>The discharge intensity of insufficiently treated wastewater by oil refining entities is calculated based on the volume of production wastewater, net of any utility wastewater received by LLC LUKOIL-Ukhtaneftepererabotka from a third party (Municipal Institution Ukhtavodokanal).</t>
  </si>
  <si>
    <t xml:space="preserve">Discharge intensity of insufficiently treated wastewater into water bodies by the Russian entities of LUKOIL Group </t>
  </si>
  <si>
    <t xml:space="preserve">For all indicators provided in this ESG Databook section, the reporting boundaries for foreign entities through 2022 include the following assets: LUKOIL Neftochim Burgas, PETROTEL-LUKOIL SA, and ISAB S.r.l (three refineries in the European Union), as well as LUKOIL Uzbekistan Operating Company LLC (hydrocarbon production project in the Republic of Uzbekistan), IOOO LUKOIL Belorussia, and LUKOIL-BULGARIA EOOD (filling stations in Bulgaria and Belarus). Starting from 2023, the refinery in Italy (ISAB S.r.l) has been excluded due to its disposal.
The reporting boundaries for Russian entities include all the Exploration and Production, Oil Refining and Petrochemicals, Power Generation, Oil Products Supply, and Transportation entities and additionally include LLC Volgodonsk Heat Supply Networks since 2021, LLC INTESMO since 2022, LLC Rostov Heat Supply Networks and LLC Volzhskiye Heat Supply Networks since 2023, LLC Teboil Rus and LLC EPU Service since 2024; LLC Yugranefteprom that included LLC LUKOIL-AIK and LLC TURSUNT from 2024 as well.		 </t>
  </si>
  <si>
    <t>The change in the values of indicators compared to the ESG Databook for 2023 is due to the consolidation of data on the formation and handling of the rock formed as a result of mine oil production at LLC LUKOIL-Perm in the Komi Republic and the NAA.  Data retrospectively recalculated from 2019.</t>
  </si>
  <si>
    <t>For the purposes of calculating the “Waste generated by business activity” indicator, LLC LLK-International is accounted for together with the Oil Refining and Petrochemicals entities; LLC LUKOIL-AERO is accounted for together with the Oil Product Supply and Transportation entities. In the organizational structure of LUKOIL Group, both entities are included in the Other Entities Rrelated to the Refining and Distribution Business Segment business sector.</t>
  </si>
  <si>
    <t>For the purposes of calculating the “Pollutant emissions by business activity” indicator, LLC LLK-International is accounted for together with the Oil Refining and Petrochemicals entities; LLC LUKOIL-AERO is accounted for together with Oil Product Supply and Transportation entities. In the organizational structure of LUKOIL Group both entities are included in the Other Entities Related to Refining and Distribution Business Segment business sector.</t>
  </si>
  <si>
    <t xml:space="preserve">The 2023 value of the “Contaminated land area at the end of the reporting year” indicator was adjusted compared to the previously published information due to data refinement.						</t>
  </si>
  <si>
    <t xml:space="preserve">The difference between the amount of waste at the end of a calendar year and the amount of waste at the beginning of the following calendar year, as well as between the amounts of waste at the beginning and end of the same calendar year, may be due to expansion of the reporting perimeter, reorganization of the LUKOIL Group entities, and data refinement for the previous reporting period.						</t>
  </si>
  <si>
    <t>4 631 </t>
  </si>
  <si>
    <t>Size of ERTs (staff and non-staff) in the Perm Territory includes the headcount of teams at LLC PermTOTIneft (15 people), though that LUKOIL Group entity is beyond the perimeter boundaries for sustainability development reporting (PJSC LUKOIL's share is less than 50%).</t>
  </si>
  <si>
    <r>
      <t xml:space="preserve">Number of employees injured in workplace accidents </t>
    </r>
    <r>
      <rPr>
        <b/>
        <sz val="10"/>
        <rFont val="Calibri (Основной текст)"/>
        <charset val="204"/>
      </rPr>
      <t>and</t>
    </r>
    <r>
      <rPr>
        <b/>
        <sz val="10"/>
        <rFont val="Calibri"/>
        <family val="2"/>
        <scheme val="minor"/>
      </rPr>
      <t xml:space="preserve"> who suffered microtraumas</t>
    </r>
  </si>
  <si>
    <t xml:space="preserve">   high-consequence</t>
  </si>
  <si>
    <t xml:space="preserve">   minor</t>
  </si>
  <si>
    <t>In 2023, the data on the refinery in Italy (ISAB S.r.l) were taken into account for Q1 2023; starting from Q2 2023, the data are not collected due to the disposal of the asset.</t>
  </si>
  <si>
    <r>
      <t>In 2023, the data on the refinery in Italy (ISAB S.r.l) were taken into account for Q1 2023; starting from</t>
    </r>
    <r>
      <rPr>
        <sz val="10"/>
        <rFont val="Calibri (Основной текст)"/>
        <charset val="204"/>
      </rPr>
      <t xml:space="preserve"> Q2 </t>
    </r>
    <r>
      <rPr>
        <sz val="10"/>
        <rFont val="Calibri"/>
        <family val="2"/>
        <scheme val="minor"/>
      </rPr>
      <t xml:space="preserve">2023, the data are not collected due to the </t>
    </r>
    <r>
      <rPr>
        <sz val="10"/>
        <rFont val="Calibri (Основной текст)"/>
        <charset val="204"/>
      </rPr>
      <t>disposal</t>
    </r>
    <r>
      <rPr>
        <sz val="10"/>
        <rFont val="Calibri"/>
        <family val="2"/>
        <scheme val="minor"/>
      </rPr>
      <t xml:space="preserve"> of the asset.</t>
    </r>
  </si>
  <si>
    <r>
      <rPr>
        <sz val="10"/>
        <color theme="1"/>
        <rFont val="Calibri Light"/>
        <family val="2"/>
        <charset val="204"/>
      </rPr>
      <t>Senior managers include the CEO (Managing Director / General Director) and their deputies for functional areas, Chief Accountant. Managers from among locals mean employees who are permanently registered in or are citizens of a relevant country</t>
    </r>
    <r>
      <rPr>
        <sz val="10"/>
        <rFont val="Calibri Light"/>
        <family val="2"/>
        <charset val="204"/>
      </rPr>
      <t>. The changes in the indicators are mainly related to the disposal of foreign assets and the restructuring of the LUKOIL Group entities.</t>
    </r>
  </si>
  <si>
    <t>In 2023, the payroll data on the refinery in Italy (ISAB S.r.l) were taken into account for Q1 2023; starting from Q2 2023, the data are not collected due to the disposal of the asset. Employee training data are provided net of distance learning costs.</t>
  </si>
  <si>
    <t>Note. Since 2021, the methodology for calculating the indicator has been amended: the list of competencies has been supplemented with a new category, “Climate change.”</t>
  </si>
  <si>
    <r>
      <rPr>
        <b/>
        <sz val="10"/>
        <color theme="1"/>
        <rFont val="Calibri"/>
        <family val="2"/>
        <scheme val="minor"/>
      </rPr>
      <t xml:space="preserve">* Note. </t>
    </r>
    <r>
      <rPr>
        <sz val="10"/>
        <color rgb="FF000000"/>
        <rFont val="Calibri"/>
        <family val="2"/>
        <scheme val="minor"/>
      </rPr>
      <t>The procedures related to the consideration of the received appeals were fully completed after the end of the reporting period, in 2025.</t>
    </r>
  </si>
  <si>
    <t>The amount of waste at the end of each reporting year (waste remaining in accumulation) depends mainly on the production process and the schedules for disposal of the generated waste. Drilling waste from construction of cluster sites comprises the main share of waste remaining in the accumulation. If the drilling began at the end of the reporting year, the drilling waste is disposed of in the next reporting year, after the drilling of the entire cluster site is completed. Thus, the volume of “transition” waste depends on the scope of drilling operations.</t>
  </si>
  <si>
    <r>
      <t xml:space="preserve">Rate of High-Consequence Work-Related Injuries = Number of high-consequence work-related injuries (excluding fatalities) х 1,000,000 man-hours / Number of man-hours worked by all employees. See the full definition in </t>
    </r>
    <r>
      <rPr>
        <i/>
        <sz val="10"/>
        <color theme="1"/>
        <rFont val="Calibri Light"/>
        <family val="2"/>
      </rPr>
      <t xml:space="preserve">Appendix 6 </t>
    </r>
    <r>
      <rPr>
        <sz val="10"/>
        <color theme="1"/>
        <rFont val="Calibri Light"/>
        <family val="2"/>
        <charset val="204"/>
      </rPr>
      <t>of Sustainability Report</t>
    </r>
    <r>
      <rPr>
        <sz val="10"/>
        <color theme="1"/>
        <rFont val="Calibri Light"/>
        <family val="2"/>
      </rPr>
      <t>.</t>
    </r>
  </si>
  <si>
    <t>UNCTAD D1.2
MED 44</t>
  </si>
  <si>
    <t>The data refer to the Oil and Gas Production, Oil Refining, Petrochemicals and Gas Refining entities.</t>
  </si>
  <si>
    <t xml:space="preserve">GRI 303-3
GRI 303-4
GRI 305-1 
SASB EM-EP-140a.2 </t>
  </si>
  <si>
    <t xml:space="preserve">GRI 303-3
GRI 303-4
SASB EM-EP-140a.2 </t>
  </si>
  <si>
    <r>
      <t>mln tonnes of CО</t>
    </r>
    <r>
      <rPr>
        <vertAlign val="subscript"/>
        <sz val="10"/>
        <color rgb="FF000000"/>
        <rFont val="Calibri"/>
        <family val="2"/>
        <scheme val="minor"/>
      </rPr>
      <t>2</t>
    </r>
    <r>
      <rPr>
        <sz val="10"/>
        <color rgb="FF000000"/>
        <rFont val="Calibri"/>
        <family val="2"/>
        <scheme val="minor"/>
      </rPr>
      <t xml:space="preserve">e </t>
    </r>
  </si>
  <si>
    <t>Investments in RES advancement include expenses on projects costs for projects that are at various stages of design and implementation; the indicator change depends on the projects’ implementation schedules.</t>
  </si>
  <si>
    <t xml:space="preserve">For the purposes of calculating the “Energy consumption by business activity” indicator, LLC LLK-International is accounted for together with the oil refining entities. In the organizational structure of LUKOIL Group, the entity is included in the Other Entities Related to Refining and Distribution Business Segment business sector. </t>
  </si>
  <si>
    <t>The data on oil spills are provided for all the Russian oil and gas production entities that are under the operational control of PJSC LUKOIL. Specific oil spill coefficient = Volume of oil spilled in accidents / Volume of oil and gas condensate production in Russia (excluding the share in affiliates). The definition of a significant spill is given in the LUKOIL Group Sustainability Report. The data for foreign entities include LUKOIL Uzbekistan Operating Company LLC. The data on spills of other substances are reflected for all the LUKOIL Group entities within the reporting boundaries.</t>
  </si>
  <si>
    <t>Percentage of local top-level managers from among locals from the total number of managers</t>
  </si>
  <si>
    <t>Given the large number of Russian regions where the LUKOIL Group entities operate, the indicator is disclosed by significant regions, i.e. the constituent entities of the Russian Federation, where the headcount of one LUKOIL Group entity comprises 500 people or more, though the number of the LUKOIL Group entities meeting this criterion in a constituent entity of the Russian Federation may be more than 1 (including entities from different business segments).
Average salary in regions where one Group entity operates = Average salary at that entity. 
In regions where several Group entities operate and have the headcount of 500 employees or more, Average salary = Weighted average for all these entities. The lack of data for a constituent entity of the Russian Federation for any reporting period means that in this reporting period there were no Group entities with the headcount of 500 employees or more in this region.</t>
  </si>
  <si>
    <t>GRI 401-1           GRI 405-1</t>
  </si>
  <si>
    <t>Integrated HSE management system</t>
  </si>
  <si>
    <t>The GHG emissions intensity by the Oil Refining and Petrochemicals entities is calculated based on the volume of GHG emissions from oil refineries, petrochemical complexes, and lubricants production. The emissions intensity by the Power Generation entities is calculated based on the volume of electricity and heat production.</t>
  </si>
  <si>
    <t>Increased GHG emissions in 2024 with simultaneous reduction in APG flaring the same year is explained by applying the updated emission coefficients (a higher methane coefficient compared to the one in the 4th IPCC Assessment Report), as well as improved methodology for loss accounting in producing and transporting hydrocarbons.</t>
  </si>
  <si>
    <t xml:space="preserve">Energy consumption for production purposes is calculated within the GHG emissions reporting boundaries (Scope 1+2). In 2024, the GHG emissions reporting boundaries were adjusted (see the Climate section). </t>
  </si>
  <si>
    <t>Starting from 2023, the data include the production by PJSC EL5-Energo and do not include data on the refinery in Italy (ISAB s.r.l.) due to its disposal. Starting from 2024, the data do not include production by Land Power due to its disposal.</t>
  </si>
  <si>
    <t xml:space="preserve">The "Investments in RES projects as percentage of CAPEX in the Power Generation business sector" indicator = Amount of capital investments in RES projects / CAPEX in the Power Generation business sector. </t>
  </si>
  <si>
    <t>The change in the number of entities where internal and external audits of management systems are performed is mainly due to a decrease in the number of the LUKOIL Group entities as a result of reorganization (LLC LUKOIL-Korobkovsky GPP was merged into LLC LUKOIL-Volgogradneftepererabotka, LLC LUKOIL-Stavropolenergo was merged into LLC LUKOIL-Rostovenergo, and LLC LUKOIL-Komi was merged into LLC LUKOIL-Perm).</t>
  </si>
  <si>
    <t>External audits are conducted in a three-year cycle in accordance with the ISO Technical Management Board recommendations. During this period, all the LUKOIL Group entities declared for certification or supervisory audits are audited.</t>
  </si>
  <si>
    <t xml:space="preserve">For all indicators provided in this ESG Databook section, the reporting boundaries for foreign entities through 2022 include the following assets: LUKOIL Neftochim Burgas, PETROTEL-LUKOIL SA, and ISAB S.r.l (three refineries in the European Union), as well as LUKOIL Uzbekistan Operating Company LLC (hydrocarbon production project in the Republic of Uzbekistan), IOOO LUKOIL Belorussia, and LUKOIL-BULGARIA EOOD (filling stations in Bulgaria and Belarus). Starting from 2023, the refinery in Italy (ISAB S.r.l) has been excluded due to its disposal.
The reporting boundaries for Russian entities include all the Exploration and Production, Oil Refining and Petrochemicals, Power Sector, Oil Products Supply, and Transportation entities and additionally include LLC Volgodonsk Heat Supply Networks since 2021, LLC INTESMO since 2022, LLC Rostov Heat Supply Networks and LLC Volzhskiye Heat Supply Networks since 2023, LLC Teboil Rus and LLC EPU Service since 2024.			 </t>
  </si>
  <si>
    <r>
      <t>The indicator for the Power Generation business sector is calculated according to the formula:</t>
    </r>
    <r>
      <rPr>
        <sz val="10"/>
        <color theme="1"/>
        <rFont val="Calibri (Основной текст)"/>
        <charset val="204"/>
      </rPr>
      <t xml:space="preserve"> </t>
    </r>
    <r>
      <rPr>
        <sz val="10"/>
        <color theme="1"/>
        <rFont val="Calibri Light"/>
        <family val="2"/>
        <charset val="204"/>
      </rPr>
      <t>Volume of primary withdrawn water used for own production needs / Fuel consumed for energy products generation (electric energy and heat). LLC LUKOIL-Ekoenergo is excluded from the calculation (due to the absence of fuel consumption). Data on entities engaged in heat transmission are recorded as part of data on power generating entities, which is explained by the specifics of technological processes.</t>
    </r>
  </si>
  <si>
    <t xml:space="preserve">Polluted water is insufficiently treated wastewater and wastewater that is not treated. Since 2024, the changes in indicators for the Russian entities (points 1.2 and 1.3) have been caused by a change in the procedure for wastewater standardization. </t>
  </si>
  <si>
    <t>The Power Generation business sector includes generating assets, as well as power grids.</t>
  </si>
  <si>
    <t>100% of the LUKOIL Group employees are covered by the Integrated HSE Management System (IMS).  Percentage of employees at the entities covered by certificates confirming HSE management systems’ compliance = Headcount of employees of the entities which have certificates confirming their management systems’ compliance with the specified international standards’ requirements / Headcount of the LUKOIL Group entities. Changes in the number of entities covered by certificates, as well as changes in the number of employees, are mainly due to asset reorganizations (for example, mergers of entities or acquisitions/disposals of assets).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</si>
</sst>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 _₽_-;\-* #,##0.00\ _₽_-;_-* &quot;-&quot;??\ _₽_-;_-@_-"/>
    <numFmt numFmtId="164" formatCode="_-* #,##0.00_-;\-* #,##0.00_-;_-* &quot;-&quot;??_-;_-@_-"/>
    <numFmt numFmtId="165" formatCode="0.0"/>
    <numFmt numFmtId="166" formatCode="0.000"/>
    <numFmt numFmtId="167" formatCode="0.0%"/>
    <numFmt numFmtId="168" formatCode="#,##0.000"/>
    <numFmt numFmtId="169" formatCode="0.0000"/>
    <numFmt numFmtId="170" formatCode="#,##0.0"/>
    <numFmt numFmtId="171" formatCode="0.0000000"/>
    <numFmt numFmtId="172" formatCode="_-* #,##0.0_-;\-* #,##0.0_-;_-* &quot;-&quot;??_-;_-@_-"/>
  </numFmts>
  <fonts count="207">
    <font>
      <sz val="12"/>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b/>
      <sz val="11"/>
      <color theme="1"/>
      <name val="Calibri"/>
      <family val="2"/>
      <charset val="204"/>
      <scheme val="minor"/>
    </font>
    <font>
      <sz val="12"/>
      <color theme="1"/>
      <name val="Calibri"/>
      <family val="2"/>
      <charset val="204"/>
      <scheme val="minor"/>
    </font>
    <font>
      <b/>
      <sz val="12"/>
      <color theme="1"/>
      <name val="Calibri"/>
      <family val="2"/>
      <scheme val="minor"/>
    </font>
    <font>
      <sz val="12"/>
      <color theme="1"/>
      <name val="Calibri"/>
      <family val="2"/>
      <scheme val="minor"/>
    </font>
    <font>
      <b/>
      <sz val="12"/>
      <color rgb="FF0070C0"/>
      <name val="Calibri"/>
      <family val="2"/>
    </font>
    <font>
      <b/>
      <sz val="11"/>
      <color rgb="FF000000"/>
      <name val="Calibri"/>
      <family val="2"/>
    </font>
    <font>
      <sz val="11"/>
      <color rgb="FF000000"/>
      <name val="Calibri"/>
      <family val="2"/>
    </font>
    <font>
      <sz val="11"/>
      <color theme="1"/>
      <name val="Calibri"/>
      <family val="2"/>
      <scheme val="minor"/>
    </font>
    <font>
      <b/>
      <sz val="10"/>
      <color theme="1"/>
      <name val="Calibri"/>
      <family val="2"/>
      <scheme val="minor"/>
    </font>
    <font>
      <sz val="10"/>
      <color theme="1"/>
      <name val="Calibri"/>
      <family val="2"/>
      <scheme val="minor"/>
    </font>
    <font>
      <sz val="10"/>
      <color rgb="FF000000"/>
      <name val="Calibri"/>
      <family val="2"/>
      <scheme val="minor"/>
    </font>
    <font>
      <sz val="10.5"/>
      <color theme="1"/>
      <name val="Calibri"/>
      <family val="2"/>
      <scheme val="minor"/>
    </font>
    <font>
      <sz val="10"/>
      <color theme="1"/>
      <name val="Calibri"/>
      <family val="2"/>
      <charset val="204"/>
      <scheme val="minor"/>
    </font>
    <font>
      <b/>
      <sz val="11"/>
      <color theme="1"/>
      <name val="Calibri"/>
      <family val="2"/>
    </font>
    <font>
      <sz val="11"/>
      <color theme="1"/>
      <name val="Calibri"/>
      <family val="2"/>
    </font>
    <font>
      <sz val="12"/>
      <color rgb="FFFF0000"/>
      <name val="Calibri"/>
      <family val="2"/>
      <charset val="204"/>
      <scheme val="minor"/>
    </font>
    <font>
      <b/>
      <sz val="11"/>
      <color theme="1"/>
      <name val="Calibri"/>
      <family val="2"/>
      <scheme val="minor"/>
    </font>
    <font>
      <sz val="11"/>
      <color theme="1"/>
      <name val="Calibri (Основной текст)"/>
      <charset val="204"/>
    </font>
    <font>
      <sz val="10.5"/>
      <color theme="1"/>
      <name val="Calibri"/>
      <family val="2"/>
    </font>
    <font>
      <sz val="11"/>
      <color rgb="FF000000"/>
      <name val="Calibri"/>
      <family val="2"/>
      <scheme val="minor"/>
    </font>
    <font>
      <b/>
      <sz val="10.5"/>
      <color theme="1"/>
      <name val="Calibri"/>
      <family val="2"/>
    </font>
    <font>
      <b/>
      <sz val="12"/>
      <color rgb="FFFF0000"/>
      <name val="Calibri"/>
      <family val="2"/>
      <scheme val="minor"/>
    </font>
    <font>
      <b/>
      <sz val="11"/>
      <color rgb="FF0070C0"/>
      <name val="Calibri"/>
      <family val="2"/>
    </font>
    <font>
      <u/>
      <sz val="12"/>
      <color theme="10"/>
      <name val="Calibri"/>
      <family val="2"/>
      <charset val="204"/>
      <scheme val="minor"/>
    </font>
    <font>
      <b/>
      <sz val="10"/>
      <color theme="1"/>
      <name val="Calibri"/>
      <family val="2"/>
    </font>
    <font>
      <sz val="10"/>
      <name val="Calibri"/>
      <family val="2"/>
      <scheme val="minor"/>
    </font>
    <font>
      <b/>
      <sz val="10"/>
      <name val="Calibri"/>
      <family val="2"/>
      <scheme val="minor"/>
    </font>
    <font>
      <sz val="11"/>
      <name val="Calibri"/>
      <family val="2"/>
      <scheme val="minor"/>
    </font>
    <font>
      <b/>
      <sz val="10"/>
      <color rgb="FF000000"/>
      <name val="Calibri Light"/>
      <family val="2"/>
    </font>
    <font>
      <sz val="10"/>
      <color rgb="FF000000"/>
      <name val="Calibri Light"/>
      <family val="2"/>
    </font>
    <font>
      <sz val="10"/>
      <name val="Calibri Light"/>
      <family val="2"/>
    </font>
    <font>
      <b/>
      <sz val="11"/>
      <color theme="1"/>
      <name val="Calibri"/>
      <family val="2"/>
      <charset val="204"/>
    </font>
    <font>
      <b/>
      <sz val="11"/>
      <color rgb="FF000000"/>
      <name val="Calibri"/>
      <family val="2"/>
      <charset val="204"/>
    </font>
    <font>
      <sz val="10"/>
      <color theme="1"/>
      <name val="Arial"/>
      <family val="2"/>
    </font>
    <font>
      <sz val="10"/>
      <color theme="1"/>
      <name val="Calibri Light"/>
      <family val="2"/>
    </font>
    <font>
      <sz val="10"/>
      <color theme="1"/>
      <name val="Calibri Light"/>
      <family val="2"/>
      <charset val="204"/>
    </font>
    <font>
      <b/>
      <sz val="10"/>
      <color rgb="FF000000"/>
      <name val="Calibri"/>
      <family val="2"/>
      <charset val="204"/>
      <scheme val="minor"/>
    </font>
    <font>
      <sz val="10"/>
      <color rgb="FF000000"/>
      <name val="Calibri"/>
      <family val="2"/>
      <charset val="204"/>
      <scheme val="minor"/>
    </font>
    <font>
      <sz val="11"/>
      <name val="Calibri"/>
      <family val="2"/>
    </font>
    <font>
      <b/>
      <sz val="11"/>
      <color rgb="FF000000"/>
      <name val="Calibri"/>
      <family val="2"/>
      <scheme val="minor"/>
    </font>
    <font>
      <b/>
      <sz val="11"/>
      <color rgb="FF000000"/>
      <name val="Calibri"/>
      <family val="2"/>
      <charset val="204"/>
      <scheme val="minor"/>
    </font>
    <font>
      <sz val="11"/>
      <color rgb="FFFF0000"/>
      <name val="Calibri"/>
      <family val="2"/>
      <charset val="204"/>
      <scheme val="minor"/>
    </font>
    <font>
      <sz val="10"/>
      <name val="Calibri"/>
      <family val="2"/>
      <charset val="204"/>
    </font>
    <font>
      <b/>
      <sz val="10"/>
      <name val="Calibri"/>
      <family val="2"/>
      <charset val="204"/>
      <scheme val="minor"/>
    </font>
    <font>
      <sz val="11"/>
      <color indexed="8"/>
      <name val="Calibri"/>
      <family val="2"/>
      <charset val="204"/>
    </font>
    <font>
      <sz val="11"/>
      <color indexed="16"/>
      <name val="Calibri"/>
      <family val="2"/>
    </font>
    <font>
      <b/>
      <sz val="11"/>
      <color indexed="53"/>
      <name val="Calibri"/>
      <family val="2"/>
    </font>
    <font>
      <b/>
      <sz val="11"/>
      <color indexed="9"/>
      <name val="Calibri"/>
      <family val="2"/>
    </font>
    <font>
      <i/>
      <sz val="10"/>
      <color rgb="FF7F7F7F"/>
      <name val="Arial"/>
      <family val="2"/>
    </font>
    <font>
      <sz val="11"/>
      <color indexed="17"/>
      <name val="Calibri"/>
      <family val="2"/>
    </font>
    <font>
      <b/>
      <i/>
      <sz val="11"/>
      <name val="Arial"/>
      <family val="2"/>
      <charset val="204"/>
    </font>
    <font>
      <b/>
      <sz val="15"/>
      <color indexed="62"/>
      <name val="Calibri"/>
      <family val="2"/>
    </font>
    <font>
      <b/>
      <sz val="13"/>
      <color indexed="62"/>
      <name val="Calibri"/>
      <family val="2"/>
    </font>
    <font>
      <b/>
      <sz val="11"/>
      <color indexed="62"/>
      <name val="Calibri"/>
      <family val="2"/>
    </font>
    <font>
      <sz val="11"/>
      <color indexed="48"/>
      <name val="Calibri"/>
      <family val="2"/>
    </font>
    <font>
      <sz val="11"/>
      <color indexed="53"/>
      <name val="Calibri"/>
      <family val="2"/>
    </font>
    <font>
      <sz val="11"/>
      <color indexed="60"/>
      <name val="Calibri"/>
      <family val="2"/>
    </font>
    <font>
      <sz val="8"/>
      <name val="Arial"/>
      <family val="2"/>
      <charset val="204"/>
    </font>
    <font>
      <sz val="11"/>
      <color theme="1"/>
      <name val="Times New Roman"/>
      <family val="2"/>
      <charset val="204"/>
    </font>
    <font>
      <sz val="10"/>
      <name val="Arial"/>
      <family val="2"/>
      <charset val="204"/>
    </font>
    <font>
      <sz val="10"/>
      <color indexed="8"/>
      <name val="Arial"/>
      <family val="2"/>
    </font>
    <font>
      <b/>
      <sz val="11"/>
      <color indexed="63"/>
      <name val="Calibri"/>
      <family val="2"/>
    </font>
    <font>
      <b/>
      <sz val="10"/>
      <color indexed="8"/>
      <name val="Arial"/>
      <family val="2"/>
    </font>
    <font>
      <b/>
      <sz val="10"/>
      <color indexed="39"/>
      <name val="Arial"/>
      <family val="2"/>
    </font>
    <font>
      <b/>
      <sz val="12"/>
      <color indexed="8"/>
      <name val="Arial"/>
      <family val="2"/>
      <charset val="204"/>
    </font>
    <font>
      <sz val="10"/>
      <color indexed="8"/>
      <name val="Arial"/>
      <family val="2"/>
      <charset val="204"/>
    </font>
    <font>
      <sz val="10"/>
      <color indexed="39"/>
      <name val="Arial"/>
      <family val="2"/>
    </font>
    <font>
      <sz val="19"/>
      <color indexed="48"/>
      <name val="Arial"/>
      <family val="2"/>
      <charset val="204"/>
    </font>
    <font>
      <sz val="10"/>
      <color indexed="10"/>
      <name val="Arial"/>
      <family val="2"/>
    </font>
    <font>
      <b/>
      <sz val="18"/>
      <color theme="3"/>
      <name val="Cambria"/>
      <family val="2"/>
      <scheme val="major"/>
    </font>
    <font>
      <b/>
      <sz val="11"/>
      <color indexed="8"/>
      <name val="Calibri"/>
      <family val="2"/>
    </font>
    <font>
      <sz val="11"/>
      <color indexed="10"/>
      <name val="Calibri"/>
      <family val="2"/>
    </font>
    <font>
      <sz val="11"/>
      <color indexed="62"/>
      <name val="Calibri"/>
      <family val="2"/>
      <charset val="204"/>
    </font>
    <font>
      <b/>
      <sz val="11"/>
      <color indexed="63"/>
      <name val="Calibri"/>
      <family val="2"/>
      <charset val="204"/>
    </font>
    <font>
      <b/>
      <sz val="11"/>
      <color indexed="52"/>
      <name val="Calibri"/>
      <family val="2"/>
      <charset val="204"/>
    </font>
    <font>
      <b/>
      <sz val="11"/>
      <color indexed="8"/>
      <name val="Calibri"/>
      <family val="2"/>
      <charset val="204"/>
    </font>
    <font>
      <sz val="11"/>
      <name val="ＭＳ Ｐゴシック"/>
      <family val="2"/>
      <charset val="128"/>
    </font>
    <font>
      <sz val="10"/>
      <name val="Arial Cyr"/>
      <charset val="204"/>
    </font>
    <font>
      <b/>
      <sz val="10"/>
      <color rgb="FF000000"/>
      <name val="Calibri"/>
      <family val="2"/>
    </font>
    <font>
      <sz val="10"/>
      <color rgb="FF000000"/>
      <name val="Calibri"/>
      <family val="2"/>
    </font>
    <font>
      <sz val="12"/>
      <color theme="1"/>
      <name val="Times New Roman"/>
      <family val="1"/>
    </font>
    <font>
      <sz val="10"/>
      <color rgb="FFFF0000"/>
      <name val="Calibri"/>
      <family val="2"/>
      <scheme val="minor"/>
    </font>
    <font>
      <sz val="10"/>
      <color theme="1"/>
      <name val="Calibri"/>
      <family val="2"/>
    </font>
    <font>
      <sz val="10"/>
      <color theme="1"/>
      <name val="Calibri"/>
      <family val="2"/>
      <charset val="204"/>
    </font>
    <font>
      <sz val="10"/>
      <color rgb="FFFF0000"/>
      <name val="Calibri"/>
      <family val="2"/>
      <charset val="204"/>
      <scheme val="minor"/>
    </font>
    <font>
      <sz val="10"/>
      <color rgb="FF000000"/>
      <name val="Calibri (Основной текст)"/>
      <charset val="204"/>
    </font>
    <font>
      <sz val="10"/>
      <color theme="1"/>
      <name val="Calibri (Основной текст)"/>
      <charset val="204"/>
    </font>
    <font>
      <b/>
      <sz val="10"/>
      <color theme="1"/>
      <name val="Calibri Light"/>
      <family val="2"/>
    </font>
    <font>
      <b/>
      <sz val="10"/>
      <color rgb="FF000000"/>
      <name val="Calibri"/>
      <family val="2"/>
      <scheme val="minor"/>
    </font>
    <font>
      <b/>
      <sz val="10"/>
      <color theme="1"/>
      <name val="Calibri (Основной текст)"/>
      <charset val="204"/>
    </font>
    <font>
      <b/>
      <sz val="10"/>
      <color rgb="FF000000"/>
      <name val="Calibri (Основной текст)"/>
      <charset val="204"/>
    </font>
    <font>
      <i/>
      <sz val="12"/>
      <color rgb="FFFF0000"/>
      <name val="Calibri"/>
      <family val="2"/>
      <scheme val="minor"/>
    </font>
    <font>
      <b/>
      <sz val="12"/>
      <color rgb="FF0070C0"/>
      <name val="Calibri (Основной текст)"/>
      <charset val="204"/>
    </font>
    <font>
      <sz val="11"/>
      <name val="Calibri (Основной текст)"/>
      <charset val="204"/>
    </font>
    <font>
      <b/>
      <sz val="10"/>
      <color theme="1"/>
      <name val="Calibri"/>
      <family val="2"/>
      <charset val="204"/>
    </font>
    <font>
      <b/>
      <sz val="10"/>
      <color theme="1"/>
      <name val="Calibri"/>
      <family val="2"/>
      <charset val="204"/>
      <scheme val="minor"/>
    </font>
    <font>
      <b/>
      <sz val="11"/>
      <color theme="4"/>
      <name val="Calibri"/>
      <family val="2"/>
    </font>
    <font>
      <b/>
      <sz val="10"/>
      <color rgb="FF0070C0"/>
      <name val="Calibri"/>
      <family val="2"/>
    </font>
    <font>
      <sz val="10"/>
      <name val="Calibri"/>
      <family val="2"/>
    </font>
    <font>
      <b/>
      <sz val="10"/>
      <color rgb="FF0070C0"/>
      <name val="Calibri"/>
      <family val="2"/>
      <scheme val="minor"/>
    </font>
    <font>
      <b/>
      <sz val="12"/>
      <color rgb="FFFF0000"/>
      <name val="Calibri"/>
      <family val="2"/>
    </font>
    <font>
      <b/>
      <sz val="11"/>
      <color rgb="FFFF0000"/>
      <name val="Calibri"/>
      <family val="2"/>
      <charset val="204"/>
    </font>
    <font>
      <sz val="10"/>
      <name val="Calibri"/>
      <family val="2"/>
      <charset val="204"/>
      <scheme val="minor"/>
    </font>
    <font>
      <sz val="10"/>
      <color rgb="FF000000"/>
      <name val="Calibri Light"/>
      <family val="2"/>
      <charset val="204"/>
    </font>
    <font>
      <sz val="9"/>
      <color rgb="FF000000"/>
      <name val="Calibri"/>
      <family val="2"/>
    </font>
    <font>
      <i/>
      <sz val="10"/>
      <color theme="1"/>
      <name val="Calibri"/>
      <family val="2"/>
      <scheme val="minor"/>
    </font>
    <font>
      <b/>
      <sz val="11"/>
      <name val="Calibri"/>
      <family val="2"/>
      <scheme val="minor"/>
    </font>
    <font>
      <b/>
      <sz val="10"/>
      <color rgb="FF0070C0"/>
      <name val="Calibri"/>
      <family val="2"/>
      <charset val="204"/>
      <scheme val="minor"/>
    </font>
    <font>
      <i/>
      <sz val="10"/>
      <name val="Calibri"/>
      <family val="2"/>
      <charset val="204"/>
      <scheme val="minor"/>
    </font>
    <font>
      <sz val="10"/>
      <name val="Calibri (Основной текст)"/>
      <charset val="204"/>
    </font>
    <font>
      <vertAlign val="subscript"/>
      <sz val="10"/>
      <color theme="1"/>
      <name val="Calibri"/>
      <family val="2"/>
      <charset val="204"/>
      <scheme val="minor"/>
    </font>
    <font>
      <b/>
      <sz val="11"/>
      <color rgb="FFFF0000"/>
      <name val="Calibri"/>
      <family val="2"/>
      <scheme val="minor"/>
    </font>
    <font>
      <b/>
      <sz val="11"/>
      <color rgb="FFFF0000"/>
      <name val="Calibri"/>
      <family val="2"/>
    </font>
    <font>
      <b/>
      <sz val="11"/>
      <color rgb="FF0070C0"/>
      <name val="Calibri"/>
      <family val="2"/>
      <scheme val="minor"/>
    </font>
    <font>
      <u/>
      <sz val="11"/>
      <color theme="10"/>
      <name val="Calibri"/>
      <family val="2"/>
      <charset val="204"/>
      <scheme val="minor"/>
    </font>
    <font>
      <b/>
      <sz val="14"/>
      <color rgb="FFFF0000"/>
      <name val="Calibri"/>
      <family val="2"/>
      <scheme val="minor"/>
    </font>
    <font>
      <sz val="11"/>
      <name val="Calibri"/>
      <family val="2"/>
      <charset val="204"/>
      <scheme val="minor"/>
    </font>
    <font>
      <sz val="12"/>
      <name val="Calibri"/>
      <family val="2"/>
      <charset val="204"/>
      <scheme val="minor"/>
    </font>
    <font>
      <b/>
      <sz val="12"/>
      <name val="Calibri"/>
      <family val="2"/>
      <charset val="204"/>
    </font>
    <font>
      <b/>
      <sz val="11"/>
      <name val="Calibri"/>
      <family val="2"/>
      <charset val="204"/>
      <scheme val="minor"/>
    </font>
    <font>
      <sz val="12"/>
      <name val="Calibri"/>
      <family val="2"/>
      <scheme val="minor"/>
    </font>
    <font>
      <b/>
      <sz val="11"/>
      <name val="Calibri"/>
      <family val="2"/>
    </font>
    <font>
      <b/>
      <sz val="10"/>
      <name val="Calibri"/>
      <family val="2"/>
    </font>
    <font>
      <i/>
      <sz val="10"/>
      <color rgb="FF000000"/>
      <name val="Calibri"/>
      <family val="2"/>
      <charset val="204"/>
      <scheme val="minor"/>
    </font>
    <font>
      <sz val="10.5"/>
      <name val="Calibri"/>
      <family val="2"/>
    </font>
    <font>
      <b/>
      <sz val="10"/>
      <color rgb="FFFF0000"/>
      <name val="Calibri"/>
      <family val="2"/>
      <scheme val="minor"/>
    </font>
    <font>
      <b/>
      <sz val="14"/>
      <color theme="1"/>
      <name val="Calibri"/>
      <family val="2"/>
      <scheme val="minor"/>
    </font>
    <font>
      <b/>
      <sz val="11"/>
      <color rgb="FF0070C0"/>
      <name val="Calibri"/>
      <family val="2"/>
      <charset val="204"/>
      <scheme val="minor"/>
    </font>
    <font>
      <b/>
      <sz val="10"/>
      <color rgb="FF000000"/>
      <name val="Calibri"/>
      <family val="2"/>
      <charset val="204"/>
    </font>
    <font>
      <sz val="10"/>
      <name val="Calibri Light"/>
      <family val="2"/>
      <charset val="204"/>
    </font>
    <font>
      <b/>
      <sz val="10"/>
      <name val="Calibri Light"/>
      <family val="2"/>
      <charset val="204"/>
    </font>
    <font>
      <sz val="8"/>
      <color theme="1"/>
      <name val="Calibri"/>
      <family val="2"/>
      <scheme val="minor"/>
    </font>
    <font>
      <sz val="8"/>
      <color rgb="FF000000"/>
      <name val="Calibri"/>
      <family val="2"/>
      <scheme val="minor"/>
    </font>
    <font>
      <b/>
      <sz val="8"/>
      <color rgb="FF000000"/>
      <name val="Calibri"/>
      <family val="2"/>
      <scheme val="minor"/>
    </font>
    <font>
      <sz val="10"/>
      <color rgb="FFFF0000"/>
      <name val="Calibri Light"/>
      <family val="2"/>
      <charset val="204"/>
    </font>
    <font>
      <sz val="8"/>
      <color rgb="FFFF0000"/>
      <name val="Calibri"/>
      <family val="2"/>
      <scheme val="minor"/>
    </font>
    <font>
      <sz val="8"/>
      <color theme="1"/>
      <name val="Calibri"/>
      <family val="2"/>
      <charset val="204"/>
      <scheme val="minor"/>
    </font>
    <font>
      <sz val="8"/>
      <color theme="1"/>
      <name val="Calibri (Основной текст)"/>
      <charset val="204"/>
    </font>
    <font>
      <sz val="8"/>
      <color theme="1"/>
      <name val="Calibri"/>
      <family val="2"/>
    </font>
    <font>
      <sz val="8"/>
      <name val="Calibri"/>
      <family val="2"/>
      <scheme val="minor"/>
    </font>
    <font>
      <sz val="8"/>
      <color rgb="FFFF0000"/>
      <name val="Calibri"/>
      <family val="2"/>
      <charset val="204"/>
      <scheme val="minor"/>
    </font>
    <font>
      <sz val="10"/>
      <color rgb="FF0070C0"/>
      <name val="Calibri"/>
      <family val="2"/>
      <charset val="204"/>
      <scheme val="minor"/>
    </font>
    <font>
      <sz val="11"/>
      <color rgb="FF7030A0"/>
      <name val="Calibri"/>
      <family val="2"/>
      <scheme val="minor"/>
    </font>
    <font>
      <b/>
      <u/>
      <sz val="11"/>
      <color rgb="FF0070C0"/>
      <name val="Calibri"/>
      <family val="2"/>
    </font>
    <font>
      <b/>
      <sz val="12"/>
      <color rgb="FFFF0000"/>
      <name val="Calibri Light"/>
      <family val="2"/>
    </font>
    <font>
      <sz val="11"/>
      <color indexed="8"/>
      <name val="Calibri"/>
      <family val="2"/>
      <scheme val="minor"/>
    </font>
    <font>
      <sz val="18"/>
      <color theme="3"/>
      <name val="Cambria"/>
      <family val="2"/>
      <scheme val="major"/>
    </font>
    <font>
      <u/>
      <sz val="11"/>
      <color theme="10"/>
      <name val="Calibri"/>
      <family val="2"/>
      <scheme val="minor"/>
    </font>
    <font>
      <sz val="14"/>
      <color rgb="FFFF0000"/>
      <name val="Calibri"/>
      <family val="2"/>
      <scheme val="minor"/>
    </font>
    <font>
      <b/>
      <sz val="8"/>
      <color rgb="FFFF0000"/>
      <name val="Calibri"/>
      <family val="2"/>
      <scheme val="minor"/>
    </font>
    <font>
      <b/>
      <u/>
      <sz val="16"/>
      <color theme="1"/>
      <name val="Calibri"/>
      <family val="2"/>
      <scheme val="minor"/>
    </font>
    <font>
      <sz val="12"/>
      <color theme="1"/>
      <name val="Calibri (Основной текст)"/>
      <charset val="204"/>
    </font>
    <font>
      <sz val="8"/>
      <color theme="1"/>
      <name val="Calibri"/>
      <family val="2"/>
      <charset val="204"/>
    </font>
    <font>
      <i/>
      <sz val="10"/>
      <color theme="1" tint="0.499984740745262"/>
      <name val="Calibri (Основной текст)"/>
      <charset val="204"/>
    </font>
    <font>
      <i/>
      <sz val="11"/>
      <color theme="1" tint="0.499984740745262"/>
      <name val="Calibri"/>
      <family val="2"/>
      <charset val="204"/>
      <scheme val="minor"/>
    </font>
    <font>
      <i/>
      <sz val="11"/>
      <color theme="1" tint="0.499984740745262"/>
      <name val="Calibri"/>
      <family val="2"/>
      <scheme val="minor"/>
    </font>
    <font>
      <sz val="12"/>
      <color theme="1" tint="0.499984740745262"/>
      <name val="Calibri"/>
      <family val="2"/>
      <charset val="204"/>
      <scheme val="minor"/>
    </font>
    <font>
      <i/>
      <sz val="10"/>
      <color rgb="FFFF0000"/>
      <name val="Calibri"/>
      <family val="2"/>
      <scheme val="minor"/>
    </font>
    <font>
      <sz val="14"/>
      <color rgb="FFFF0000"/>
      <name val="Calibri"/>
      <family val="2"/>
      <charset val="204"/>
      <scheme val="minor"/>
    </font>
    <font>
      <u/>
      <sz val="12"/>
      <color rgb="FFFF0000"/>
      <name val="Calibri"/>
      <family val="2"/>
      <charset val="204"/>
      <scheme val="minor"/>
    </font>
    <font>
      <i/>
      <sz val="10"/>
      <color theme="1"/>
      <name val="Calibri Light"/>
      <family val="2"/>
    </font>
    <font>
      <sz val="9"/>
      <color theme="1"/>
      <name val="Calibri"/>
      <family val="2"/>
      <scheme val="minor"/>
    </font>
    <font>
      <sz val="8"/>
      <name val="Calibri"/>
      <family val="2"/>
    </font>
    <font>
      <sz val="8"/>
      <name val="Calibri"/>
      <family val="2"/>
      <charset val="204"/>
      <scheme val="minor"/>
    </font>
    <font>
      <i/>
      <sz val="10"/>
      <color theme="1"/>
      <name val="Calibri"/>
      <family val="2"/>
    </font>
    <font>
      <sz val="9"/>
      <color rgb="FF000000"/>
      <name val="Calibri"/>
      <family val="2"/>
      <charset val="204"/>
      <scheme val="minor"/>
    </font>
    <font>
      <vertAlign val="subscript"/>
      <sz val="10"/>
      <color rgb="FF000000"/>
      <name val="Calibri"/>
      <family val="2"/>
      <charset val="204"/>
      <scheme val="minor"/>
    </font>
    <font>
      <vertAlign val="subscript"/>
      <sz val="10"/>
      <color theme="1"/>
      <name val="Calibri Light"/>
      <family val="2"/>
    </font>
    <font>
      <b/>
      <sz val="10"/>
      <color rgb="FF7030A0"/>
      <name val="Calibri"/>
      <family val="2"/>
      <scheme val="minor"/>
    </font>
    <font>
      <vertAlign val="subscript"/>
      <sz val="10"/>
      <color rgb="FF000000"/>
      <name val="Calibri"/>
      <family val="2"/>
      <scheme val="minor"/>
    </font>
    <font>
      <b/>
      <sz val="10"/>
      <color rgb="FF7030A0"/>
      <name val="Calibri (Основной текст)"/>
      <charset val="204"/>
    </font>
    <font>
      <i/>
      <sz val="11"/>
      <color theme="1"/>
      <name val="Calibri"/>
      <family val="2"/>
      <charset val="204"/>
      <scheme val="minor"/>
    </font>
    <font>
      <sz val="9"/>
      <color theme="1"/>
      <name val="Calibri"/>
      <family val="2"/>
      <charset val="204"/>
      <scheme val="minor"/>
    </font>
    <font>
      <sz val="10"/>
      <color rgb="FF000000"/>
      <name val="Calibri"/>
      <family val="2"/>
      <charset val="204"/>
    </font>
    <font>
      <b/>
      <sz val="14"/>
      <color theme="1"/>
      <name val="Calibri"/>
      <family val="2"/>
      <charset val="204"/>
      <scheme val="minor"/>
    </font>
    <font>
      <i/>
      <sz val="10"/>
      <color rgb="FF0070C0"/>
      <name val="Calibri"/>
      <family val="2"/>
      <scheme val="minor"/>
    </font>
    <font>
      <b/>
      <sz val="8"/>
      <color theme="1"/>
      <name val="Calibri"/>
      <family val="2"/>
      <scheme val="minor"/>
    </font>
    <font>
      <sz val="10"/>
      <color rgb="FFFF0000"/>
      <name val="Calibri Light"/>
      <family val="2"/>
    </font>
    <font>
      <vertAlign val="subscript"/>
      <sz val="10"/>
      <color theme="1"/>
      <name val="Calibri"/>
      <family val="2"/>
      <scheme val="minor"/>
    </font>
    <font>
      <b/>
      <i/>
      <sz val="10"/>
      <color rgb="FF000000"/>
      <name val="Calibri"/>
      <family val="2"/>
      <charset val="204"/>
      <scheme val="minor"/>
    </font>
    <font>
      <i/>
      <sz val="10"/>
      <color rgb="FF000000"/>
      <name val="Calibri"/>
      <family val="2"/>
      <scheme val="minor"/>
    </font>
    <font>
      <b/>
      <vertAlign val="subscript"/>
      <sz val="11"/>
      <color rgb="FF0070C0"/>
      <name val="Calibri"/>
      <family val="2"/>
    </font>
    <font>
      <b/>
      <vertAlign val="subscript"/>
      <sz val="10"/>
      <color rgb="FF000000"/>
      <name val="Calibri"/>
      <family val="2"/>
      <charset val="204"/>
      <scheme val="minor"/>
    </font>
    <font>
      <sz val="12"/>
      <color rgb="FF00B050"/>
      <name val="Calibri"/>
      <family val="2"/>
      <charset val="204"/>
      <scheme val="minor"/>
    </font>
    <font>
      <sz val="12"/>
      <color theme="1"/>
      <name val="Calibri"/>
      <family val="2"/>
      <charset val="204"/>
    </font>
    <font>
      <sz val="11"/>
      <color rgb="FF000000"/>
      <name val="Calibri"/>
      <family val="2"/>
      <charset val="204"/>
    </font>
    <font>
      <sz val="8"/>
      <color rgb="FF000000"/>
      <name val="Calibri"/>
      <family val="2"/>
    </font>
    <font>
      <sz val="8"/>
      <color rgb="FFFF0000"/>
      <name val="Calibri"/>
      <family val="2"/>
    </font>
    <font>
      <b/>
      <sz val="10"/>
      <name val="Calibri"/>
      <family val="2"/>
      <charset val="204"/>
    </font>
    <font>
      <sz val="10"/>
      <color rgb="FFFF0000"/>
      <name val="Calibri"/>
      <family val="2"/>
      <charset val="204"/>
    </font>
    <font>
      <b/>
      <sz val="11"/>
      <name val="Calibri"/>
      <family val="2"/>
      <charset val="204"/>
    </font>
    <font>
      <sz val="11"/>
      <name val="Calibri"/>
      <family val="2"/>
      <charset val="204"/>
    </font>
    <font>
      <b/>
      <sz val="10"/>
      <name val="Calibri (Основной текст)"/>
      <charset val="204"/>
    </font>
    <font>
      <sz val="8"/>
      <name val="Calibri (Основной текст)"/>
      <charset val="204"/>
    </font>
    <font>
      <sz val="10"/>
      <color rgb="FF7030A0"/>
      <name val="Calibri"/>
      <family val="2"/>
      <scheme val="minor"/>
    </font>
    <font>
      <sz val="8"/>
      <color rgb="FF000000"/>
      <name val="Calibri"/>
      <family val="2"/>
      <charset val="204"/>
      <scheme val="minor"/>
    </font>
  </fonts>
  <fills count="35">
    <fill>
      <patternFill patternType="none"/>
    </fill>
    <fill>
      <patternFill patternType="gray125"/>
    </fill>
    <fill>
      <patternFill patternType="solid">
        <fgColor rgb="FFFFFFFF"/>
        <bgColor rgb="FF000000"/>
      </patternFill>
    </fill>
    <fill>
      <patternFill patternType="solid">
        <fgColor theme="0"/>
        <bgColor indexed="64"/>
      </patternFill>
    </fill>
    <fill>
      <patternFill patternType="solid">
        <fgColor theme="5" tint="0.79998168889431442"/>
        <bgColor indexed="64"/>
      </patternFill>
    </fill>
    <fill>
      <patternFill patternType="solid">
        <fgColor rgb="FFFFFFFF"/>
        <bgColor indexed="64"/>
      </patternFill>
    </fill>
    <fill>
      <patternFill patternType="solid">
        <fgColor indexed="44"/>
      </patternFill>
    </fill>
    <fill>
      <patternFill patternType="solid">
        <fgColor indexed="45"/>
        <bgColor indexed="45"/>
      </patternFill>
    </fill>
    <fill>
      <patternFill patternType="solid">
        <fgColor indexed="9"/>
        <bgColor indexed="9"/>
      </patternFill>
    </fill>
    <fill>
      <patternFill patternType="solid">
        <fgColor indexed="55"/>
        <bgColor indexed="55"/>
      </patternFill>
    </fill>
    <fill>
      <patternFill patternType="solid">
        <fgColor indexed="42"/>
        <bgColor indexed="42"/>
      </patternFill>
    </fill>
    <fill>
      <patternFill patternType="solid">
        <fgColor theme="2"/>
        <bgColor indexed="64"/>
      </patternFill>
    </fill>
    <fill>
      <patternFill patternType="solid">
        <fgColor indexed="47"/>
        <bgColor indexed="47"/>
      </patternFill>
    </fill>
    <fill>
      <patternFill patternType="solid">
        <fgColor indexed="26"/>
        <bgColor indexed="26"/>
      </patternFill>
    </fill>
    <fill>
      <patternFill patternType="solid">
        <fgColor indexed="43"/>
      </patternFill>
    </fill>
    <fill>
      <patternFill patternType="solid">
        <fgColor indexed="45"/>
      </patternFill>
    </fill>
    <fill>
      <patternFill patternType="solid">
        <fgColor indexed="29"/>
      </patternFill>
    </fill>
    <fill>
      <patternFill patternType="solid">
        <fgColor indexed="10"/>
      </patternFill>
    </fill>
    <fill>
      <patternFill patternType="solid">
        <fgColor indexed="51"/>
      </patternFill>
    </fill>
    <fill>
      <patternFill patternType="solid">
        <fgColor indexed="52"/>
      </patternFill>
    </fill>
    <fill>
      <patternFill patternType="solid">
        <fgColor indexed="53"/>
      </patternFill>
    </fill>
    <fill>
      <patternFill patternType="solid">
        <fgColor indexed="57"/>
      </patternFill>
    </fill>
    <fill>
      <patternFill patternType="solid">
        <fgColor indexed="50"/>
      </patternFill>
    </fill>
    <fill>
      <patternFill patternType="solid">
        <fgColor indexed="11"/>
      </patternFill>
    </fill>
    <fill>
      <patternFill patternType="lightUp">
        <fgColor indexed="48"/>
        <bgColor indexed="41"/>
      </patternFill>
    </fill>
    <fill>
      <patternFill patternType="solid">
        <fgColor indexed="41"/>
      </patternFill>
    </fill>
    <fill>
      <patternFill patternType="solid">
        <fgColor indexed="54"/>
      </patternFill>
    </fill>
    <fill>
      <patternFill patternType="solid">
        <fgColor indexed="40"/>
      </patternFill>
    </fill>
    <fill>
      <patternFill patternType="solid">
        <fgColor indexed="26"/>
      </patternFill>
    </fill>
    <fill>
      <patternFill patternType="solid">
        <fgColor indexed="15"/>
      </patternFill>
    </fill>
    <fill>
      <patternFill patternType="solid">
        <fgColor indexed="47"/>
      </patternFill>
    </fill>
    <fill>
      <patternFill patternType="solid">
        <fgColor indexed="22"/>
      </patternFill>
    </fill>
    <fill>
      <patternFill patternType="solid">
        <fgColor theme="5" tint="0.79998168889431442"/>
        <bgColor rgb="FF000000"/>
      </patternFill>
    </fill>
    <fill>
      <patternFill patternType="solid">
        <fgColor rgb="FFF2DCDB"/>
        <bgColor rgb="FF000000"/>
      </patternFill>
    </fill>
    <fill>
      <patternFill patternType="solid">
        <fgColor theme="0"/>
        <bgColor rgb="FF000000"/>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right/>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8"/>
      </bottom>
      <diagonal/>
    </border>
    <border>
      <left/>
      <right/>
      <top/>
      <bottom style="thick">
        <color indexed="22"/>
      </bottom>
      <diagonal/>
    </border>
    <border>
      <left/>
      <right/>
      <top/>
      <bottom style="medium">
        <color indexed="24"/>
      </bottom>
      <diagonal/>
    </border>
    <border>
      <left style="thin">
        <color indexed="23"/>
      </left>
      <right style="thin">
        <color indexed="23"/>
      </right>
      <top style="thin">
        <color indexed="23"/>
      </top>
      <bottom style="thin">
        <color indexed="23"/>
      </bottom>
      <diagonal/>
    </border>
    <border>
      <left/>
      <right/>
      <top/>
      <bottom style="double">
        <color indexed="53"/>
      </bottom>
      <diagonal/>
    </border>
    <border>
      <left style="thin">
        <color indexed="22"/>
      </left>
      <right style="thin">
        <color indexed="22"/>
      </right>
      <top style="thin">
        <color indexed="22"/>
      </top>
      <bottom style="thin">
        <color indexed="22"/>
      </bottom>
      <diagonal/>
    </border>
    <border>
      <left style="thin">
        <color indexed="48"/>
      </left>
      <right style="thin">
        <color indexed="48"/>
      </right>
      <top style="thin">
        <color indexed="48"/>
      </top>
      <bottom style="thin">
        <color indexed="48"/>
      </bottom>
      <diagonal/>
    </border>
    <border>
      <left style="thin">
        <color indexed="63"/>
      </left>
      <right style="thin">
        <color indexed="63"/>
      </right>
      <top style="thin">
        <color indexed="63"/>
      </top>
      <bottom style="thin">
        <color indexed="63"/>
      </bottom>
      <diagonal/>
    </border>
    <border>
      <left style="thin">
        <color auto="1"/>
      </left>
      <right style="thin">
        <color auto="1"/>
      </right>
      <top style="thin">
        <color auto="1"/>
      </top>
      <bottom style="thin">
        <color auto="1"/>
      </bottom>
      <diagonal/>
    </border>
    <border>
      <left style="thin">
        <color indexed="41"/>
      </left>
      <right style="thin">
        <color indexed="48"/>
      </right>
      <top style="medium">
        <color indexed="41"/>
      </top>
      <bottom style="thin">
        <color indexed="48"/>
      </bottom>
      <diagonal/>
    </border>
    <border>
      <left style="thin">
        <color indexed="64"/>
      </left>
      <right style="medium">
        <color theme="3" tint="0.59996337778862885"/>
      </right>
      <top style="medium">
        <color theme="3" tint="0.59996337778862885"/>
      </top>
      <bottom style="thin">
        <color indexed="64"/>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auto="1"/>
      </top>
      <bottom/>
      <diagonal/>
    </border>
    <border>
      <left style="thin">
        <color auto="1"/>
      </left>
      <right/>
      <top style="thin">
        <color auto="1"/>
      </top>
      <bottom style="thin">
        <color auto="1"/>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37">
    <xf numFmtId="0" fontId="0" fillId="0" borderId="0"/>
    <xf numFmtId="0" fontId="10" fillId="0" borderId="0"/>
    <xf numFmtId="0" fontId="18" fillId="0" borderId="0"/>
    <xf numFmtId="0" fontId="18" fillId="0" borderId="0"/>
    <xf numFmtId="0" fontId="12" fillId="0" borderId="0"/>
    <xf numFmtId="0" fontId="10" fillId="0" borderId="0"/>
    <xf numFmtId="164" fontId="18" fillId="0" borderId="0" applyFont="0" applyFill="0" applyBorder="0" applyAlignment="0" applyProtection="0"/>
    <xf numFmtId="0" fontId="34" fillId="0" borderId="0" applyNumberFormat="0" applyFill="0" applyBorder="0" applyAlignment="0" applyProtection="0"/>
    <xf numFmtId="9" fontId="12" fillId="0" borderId="0" applyFont="0" applyFill="0" applyBorder="0" applyAlignment="0" applyProtection="0"/>
    <xf numFmtId="164" fontId="12" fillId="0" borderId="0" applyFont="0" applyFill="0" applyBorder="0" applyAlignment="0" applyProtection="0"/>
    <xf numFmtId="0" fontId="44" fillId="0" borderId="0"/>
    <xf numFmtId="0" fontId="12" fillId="0" borderId="0"/>
    <xf numFmtId="164" fontId="12" fillId="0" borderId="0" applyFont="0" applyFill="0" applyBorder="0" applyAlignment="0" applyProtection="0"/>
    <xf numFmtId="0" fontId="8" fillId="0" borderId="0"/>
    <xf numFmtId="0" fontId="55" fillId="6" borderId="0" applyNumberFormat="0" applyBorder="0" applyAlignment="0" applyProtection="0"/>
    <xf numFmtId="0" fontId="56" fillId="7" borderId="0" applyNumberFormat="0" applyBorder="0" applyAlignment="0" applyProtection="0"/>
    <xf numFmtId="0" fontId="57" fillId="8" borderId="8" applyNumberFormat="0" applyAlignment="0" applyProtection="0"/>
    <xf numFmtId="0" fontId="58" fillId="9" borderId="9" applyNumberFormat="0" applyAlignment="0" applyProtection="0"/>
    <xf numFmtId="0" fontId="59" fillId="0" borderId="0" applyNumberFormat="0" applyFill="0" applyBorder="0" applyAlignment="0" applyProtection="0"/>
    <xf numFmtId="0" fontId="60" fillId="10" borderId="0" applyNumberFormat="0" applyBorder="0" applyAlignment="0" applyProtection="0"/>
    <xf numFmtId="0" fontId="61" fillId="11" borderId="1">
      <alignment horizontal="center" vertical="center"/>
    </xf>
    <xf numFmtId="0" fontId="62" fillId="0" borderId="10" applyNumberFormat="0" applyFill="0" applyAlignment="0" applyProtection="0"/>
    <xf numFmtId="0" fontId="63" fillId="0" borderId="11" applyNumberFormat="0" applyFill="0" applyAlignment="0" applyProtection="0"/>
    <xf numFmtId="0" fontId="64" fillId="0" borderId="12" applyNumberFormat="0" applyFill="0" applyAlignment="0" applyProtection="0"/>
    <xf numFmtId="0" fontId="64" fillId="0" borderId="0" applyNumberFormat="0" applyFill="0" applyBorder="0" applyAlignment="0" applyProtection="0"/>
    <xf numFmtId="0" fontId="65" fillId="12" borderId="13" applyNumberFormat="0" applyAlignment="0" applyProtection="0"/>
    <xf numFmtId="0" fontId="66" fillId="0" borderId="14" applyNumberFormat="0" applyFill="0" applyAlignment="0" applyProtection="0"/>
    <xf numFmtId="0" fontId="67" fillId="12" borderId="0" applyNumberFormat="0" applyBorder="0" applyAlignment="0" applyProtection="0"/>
    <xf numFmtId="0" fontId="68" fillId="0" borderId="0"/>
    <xf numFmtId="0" fontId="18" fillId="0" borderId="0"/>
    <xf numFmtId="0" fontId="69" fillId="0" borderId="0"/>
    <xf numFmtId="0" fontId="8" fillId="0" borderId="0"/>
    <xf numFmtId="0" fontId="70" fillId="13" borderId="15" applyNumberFormat="0" applyFont="0" applyAlignment="0" applyProtection="0"/>
    <xf numFmtId="0" fontId="71" fillId="0" borderId="16">
      <alignment horizontal="left" vertical="center" wrapText="1"/>
    </xf>
    <xf numFmtId="0" fontId="72" fillId="8" borderId="17" applyNumberFormat="0" applyAlignment="0" applyProtection="0"/>
    <xf numFmtId="9" fontId="8" fillId="0" borderId="0" applyFont="0" applyFill="0" applyBorder="0" applyAlignment="0" applyProtection="0"/>
    <xf numFmtId="4" fontId="73" fillId="0" borderId="16" applyNumberFormat="0" applyProtection="0"/>
    <xf numFmtId="4" fontId="74" fillId="14" borderId="16" applyNumberFormat="0" applyProtection="0">
      <alignment vertical="center"/>
    </xf>
    <xf numFmtId="4" fontId="73" fillId="0" borderId="16" applyNumberFormat="0" applyProtection="0">
      <alignment horizontal="center" vertical="center" wrapText="1"/>
    </xf>
    <xf numFmtId="0" fontId="73" fillId="14" borderId="16" applyNumberFormat="0" applyProtection="0">
      <alignment horizontal="left" vertical="top" indent="1"/>
    </xf>
    <xf numFmtId="4" fontId="73" fillId="0" borderId="18" applyNumberFormat="0" applyProtection="0">
      <alignment horizontal="left" vertical="center" indent="1"/>
    </xf>
    <xf numFmtId="4" fontId="71" fillId="15" borderId="16" applyNumberFormat="0" applyProtection="0">
      <alignment horizontal="right" vertical="center"/>
    </xf>
    <xf numFmtId="4" fontId="71" fillId="16" borderId="16" applyNumberFormat="0" applyProtection="0">
      <alignment horizontal="right" vertical="center"/>
    </xf>
    <xf numFmtId="4" fontId="71" fillId="17" borderId="16" applyNumberFormat="0" applyProtection="0">
      <alignment horizontal="right" vertical="center"/>
    </xf>
    <xf numFmtId="4" fontId="71" fillId="18" borderId="16" applyNumberFormat="0" applyProtection="0">
      <alignment horizontal="right" vertical="center"/>
    </xf>
    <xf numFmtId="4" fontId="71" fillId="19" borderId="16" applyNumberFormat="0" applyProtection="0">
      <alignment horizontal="right" vertical="center"/>
    </xf>
    <xf numFmtId="4" fontId="71" fillId="20" borderId="16" applyNumberFormat="0" applyProtection="0">
      <alignment horizontal="right" vertical="center"/>
    </xf>
    <xf numFmtId="4" fontId="71" fillId="21" borderId="16" applyNumberFormat="0" applyProtection="0">
      <alignment horizontal="right" vertical="center"/>
    </xf>
    <xf numFmtId="4" fontId="71" fillId="22" borderId="16" applyNumberFormat="0" applyProtection="0">
      <alignment horizontal="right" vertical="center"/>
    </xf>
    <xf numFmtId="4" fontId="71" fillId="23" borderId="16" applyNumberFormat="0" applyProtection="0">
      <alignment horizontal="right" vertical="center"/>
    </xf>
    <xf numFmtId="4" fontId="73" fillId="24" borderId="19" applyNumberFormat="0" applyProtection="0">
      <alignment horizontal="left" vertical="center" indent="1"/>
    </xf>
    <xf numFmtId="4" fontId="71" fillId="25" borderId="0" applyNumberFormat="0" applyProtection="0">
      <alignment horizontal="left" vertical="center" indent="1"/>
    </xf>
    <xf numFmtId="4" fontId="75" fillId="26" borderId="0" applyNumberFormat="0" applyProtection="0">
      <alignment horizontal="left" vertical="center" indent="1"/>
    </xf>
    <xf numFmtId="4" fontId="71" fillId="27" borderId="16" applyNumberFormat="0" applyProtection="0">
      <alignment horizontal="right" vertical="center"/>
    </xf>
    <xf numFmtId="4" fontId="76" fillId="25" borderId="0" applyNumberFormat="0" applyProtection="0">
      <alignment horizontal="left" vertical="center" indent="1"/>
    </xf>
    <xf numFmtId="4" fontId="76" fillId="27" borderId="0" applyNumberFormat="0" applyProtection="0">
      <alignment horizontal="left" vertical="center" indent="1"/>
    </xf>
    <xf numFmtId="0" fontId="70" fillId="26" borderId="16" applyNumberFormat="0" applyProtection="0">
      <alignment horizontal="left" vertical="center" indent="1"/>
    </xf>
    <xf numFmtId="0" fontId="70" fillId="26" borderId="16" applyNumberFormat="0" applyProtection="0">
      <alignment horizontal="left" vertical="top" indent="1"/>
    </xf>
    <xf numFmtId="0" fontId="70" fillId="27" borderId="16" applyNumberFormat="0" applyProtection="0">
      <alignment horizontal="left" vertical="center" indent="1"/>
    </xf>
    <xf numFmtId="0" fontId="70" fillId="27" borderId="16" applyNumberFormat="0" applyProtection="0">
      <alignment horizontal="left" vertical="top" indent="1"/>
    </xf>
    <xf numFmtId="0" fontId="70" fillId="6" borderId="16" applyNumberFormat="0" applyProtection="0">
      <alignment horizontal="left" vertical="center" indent="1"/>
    </xf>
    <xf numFmtId="0" fontId="70" fillId="6" borderId="16" applyNumberFormat="0" applyProtection="0">
      <alignment horizontal="left" vertical="top" indent="1"/>
    </xf>
    <xf numFmtId="0" fontId="70" fillId="25" borderId="16" applyNumberFormat="0" applyProtection="0">
      <alignment horizontal="left" vertical="center" indent="1"/>
    </xf>
    <xf numFmtId="0" fontId="70" fillId="25" borderId="16" applyNumberFormat="0" applyProtection="0">
      <alignment horizontal="left" vertical="top" indent="1"/>
    </xf>
    <xf numFmtId="0" fontId="70" fillId="0" borderId="20" applyNumberFormat="0">
      <alignment vertical="center"/>
      <protection locked="0"/>
    </xf>
    <xf numFmtId="4" fontId="71" fillId="28" borderId="16" applyNumberFormat="0" applyProtection="0">
      <alignment vertical="center"/>
    </xf>
    <xf numFmtId="4" fontId="77" fillId="28" borderId="16" applyNumberFormat="0" applyProtection="0">
      <alignment vertical="center"/>
    </xf>
    <xf numFmtId="4" fontId="71" fillId="28" borderId="16" applyNumberFormat="0" applyProtection="0">
      <alignment horizontal="left" vertical="center" indent="1"/>
    </xf>
    <xf numFmtId="0" fontId="71" fillId="28" borderId="16" applyNumberFormat="0" applyProtection="0">
      <alignment horizontal="left" vertical="top" indent="1"/>
    </xf>
    <xf numFmtId="4" fontId="71" fillId="0" borderId="16" applyNumberFormat="0" applyProtection="0">
      <alignment horizontal="right" vertical="center"/>
    </xf>
    <xf numFmtId="4" fontId="71" fillId="0" borderId="16" applyNumberFormat="0" applyProtection="0">
      <alignment horizontal="right" vertical="center"/>
    </xf>
    <xf numFmtId="4" fontId="77" fillId="25" borderId="16" applyNumberFormat="0" applyProtection="0">
      <alignment horizontal="right" vertical="center"/>
    </xf>
    <xf numFmtId="4" fontId="71" fillId="0" borderId="16" applyNumberFormat="0" applyProtection="0">
      <alignment horizontal="center" vertical="center" wrapText="1"/>
    </xf>
    <xf numFmtId="0" fontId="71" fillId="27" borderId="16" applyNumberFormat="0" applyProtection="0">
      <alignment horizontal="left" vertical="top" indent="1"/>
    </xf>
    <xf numFmtId="4" fontId="78" fillId="29" borderId="0" applyNumberFormat="0" applyProtection="0">
      <alignment horizontal="left" vertical="center" indent="1"/>
    </xf>
    <xf numFmtId="4" fontId="79" fillId="25" borderId="16" applyNumberFormat="0" applyProtection="0">
      <alignment horizontal="right" vertical="center"/>
    </xf>
    <xf numFmtId="0" fontId="80" fillId="0" borderId="0" applyNumberFormat="0" applyFill="0" applyBorder="0" applyAlignment="0" applyProtection="0"/>
    <xf numFmtId="0" fontId="81" fillId="0" borderId="21" applyNumberFormat="0" applyFill="0" applyAlignment="0" applyProtection="0"/>
    <xf numFmtId="0" fontId="82" fillId="0" borderId="0" applyNumberFormat="0" applyFill="0" applyBorder="0" applyAlignment="0" applyProtection="0"/>
    <xf numFmtId="0" fontId="83" fillId="30" borderId="13" applyNumberFormat="0" applyAlignment="0" applyProtection="0"/>
    <xf numFmtId="0" fontId="84" fillId="31" borderId="17" applyNumberFormat="0" applyAlignment="0" applyProtection="0"/>
    <xf numFmtId="0" fontId="85" fillId="31" borderId="13" applyNumberFormat="0" applyAlignment="0" applyProtection="0"/>
    <xf numFmtId="0" fontId="86" fillId="0" borderId="22" applyNumberFormat="0" applyFill="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0" fillId="0" borderId="0"/>
    <xf numFmtId="0" fontId="8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8" fillId="0" borderId="0"/>
    <xf numFmtId="0" fontId="8" fillId="0" borderId="0"/>
    <xf numFmtId="0" fontId="8" fillId="0" borderId="0"/>
    <xf numFmtId="0" fontId="8" fillId="0" borderId="0"/>
    <xf numFmtId="0" fontId="8" fillId="0" borderId="0"/>
    <xf numFmtId="0" fontId="8" fillId="0" borderId="0"/>
    <xf numFmtId="0" fontId="55" fillId="28" borderId="15" applyNumberFormat="0" applyFont="0" applyAlignment="0" applyProtection="0"/>
    <xf numFmtId="0" fontId="88" fillId="0" borderId="0"/>
    <xf numFmtId="0" fontId="18" fillId="0" borderId="0"/>
    <xf numFmtId="164" fontId="12" fillId="0" borderId="0" applyFont="0" applyFill="0" applyBorder="0" applyAlignment="0" applyProtection="0"/>
    <xf numFmtId="43" fontId="18" fillId="0" borderId="0" applyFont="0" applyFill="0" applyBorder="0" applyAlignment="0" applyProtection="0"/>
    <xf numFmtId="0" fontId="156" fillId="0" borderId="0"/>
    <xf numFmtId="0" fontId="157" fillId="0" borderId="0" applyNumberFormat="0" applyFill="0" applyBorder="0" applyAlignment="0" applyProtection="0"/>
    <xf numFmtId="0" fontId="158" fillId="0" borderId="0" applyNumberFormat="0" applyFill="0" applyBorder="0" applyAlignment="0" applyProtection="0"/>
    <xf numFmtId="0" fontId="55" fillId="0" borderId="0"/>
    <xf numFmtId="0" fontId="7" fillId="0" borderId="0"/>
    <xf numFmtId="0" fontId="3" fillId="0" borderId="0"/>
  </cellStyleXfs>
  <cellXfs count="1070">
    <xf numFmtId="0" fontId="0" fillId="0" borderId="0" xfId="0"/>
    <xf numFmtId="0" fontId="0" fillId="0" borderId="1" xfId="0" applyBorder="1"/>
    <xf numFmtId="0" fontId="0" fillId="0" borderId="0" xfId="0" applyAlignment="1">
      <alignment wrapText="1"/>
    </xf>
    <xf numFmtId="0" fontId="14" fillId="0" borderId="0" xfId="0" applyFont="1"/>
    <xf numFmtId="1" fontId="0" fillId="0" borderId="0" xfId="0" applyNumberFormat="1"/>
    <xf numFmtId="0" fontId="24" fillId="0" borderId="1" xfId="0" applyFont="1" applyBorder="1" applyAlignment="1">
      <alignment horizontal="center" vertical="center" wrapText="1"/>
    </xf>
    <xf numFmtId="0" fontId="26" fillId="0" borderId="0" xfId="0" applyFont="1"/>
    <xf numFmtId="0" fontId="13" fillId="0" borderId="0" xfId="0" applyFont="1"/>
    <xf numFmtId="9" fontId="0" fillId="0" borderId="0" xfId="0" applyNumberFormat="1"/>
    <xf numFmtId="0" fontId="0" fillId="0" borderId="0" xfId="0" applyAlignment="1">
      <alignment horizontal="center"/>
    </xf>
    <xf numFmtId="0" fontId="0" fillId="0" borderId="0" xfId="0" applyAlignment="1">
      <alignment horizontal="center" vertical="center"/>
    </xf>
    <xf numFmtId="0" fontId="32" fillId="0" borderId="0" xfId="0" applyFont="1" applyAlignment="1">
      <alignment vertical="center"/>
    </xf>
    <xf numFmtId="0" fontId="32" fillId="0" borderId="0" xfId="0" applyFont="1"/>
    <xf numFmtId="0" fontId="15" fillId="0" borderId="0" xfId="0" applyFont="1" applyAlignment="1">
      <alignment vertical="center" wrapText="1"/>
    </xf>
    <xf numFmtId="0" fontId="20" fillId="0" borderId="1" xfId="0" applyFont="1" applyBorder="1"/>
    <xf numFmtId="0" fontId="0" fillId="4" borderId="0" xfId="0" applyFill="1"/>
    <xf numFmtId="0" fontId="16" fillId="0" borderId="1" xfId="0" applyFont="1" applyBorder="1" applyAlignment="1">
      <alignment horizontal="center" vertical="center" wrapText="1"/>
    </xf>
    <xf numFmtId="0" fontId="41" fillId="0" borderId="2" xfId="0" applyFont="1" applyBorder="1" applyAlignment="1">
      <alignment vertical="center" wrapText="1"/>
    </xf>
    <xf numFmtId="0" fontId="41" fillId="0" borderId="1" xfId="0" applyFont="1" applyBorder="1" applyAlignment="1">
      <alignment vertical="center" wrapText="1"/>
    </xf>
    <xf numFmtId="0" fontId="27" fillId="0" borderId="1" xfId="0" applyFont="1" applyBorder="1" applyAlignment="1">
      <alignment horizontal="center" vertical="center"/>
    </xf>
    <xf numFmtId="0" fontId="11" fillId="0" borderId="1" xfId="0" applyFont="1" applyBorder="1" applyAlignment="1">
      <alignment horizontal="center" vertical="center" wrapText="1"/>
    </xf>
    <xf numFmtId="0" fontId="8" fillId="0" borderId="0" xfId="13"/>
    <xf numFmtId="0" fontId="14" fillId="0" borderId="0" xfId="13" applyFont="1"/>
    <xf numFmtId="0" fontId="90" fillId="0" borderId="18" xfId="0" applyFont="1" applyBorder="1" applyAlignment="1">
      <alignment vertical="center" wrapText="1"/>
    </xf>
    <xf numFmtId="0" fontId="90" fillId="0" borderId="18" xfId="0" applyFont="1" applyBorder="1" applyAlignment="1">
      <alignment vertical="center"/>
    </xf>
    <xf numFmtId="0" fontId="89" fillId="0" borderId="18" xfId="0" applyFont="1" applyBorder="1" applyAlignment="1">
      <alignment vertical="center" wrapText="1"/>
    </xf>
    <xf numFmtId="0" fontId="90" fillId="0" borderId="0" xfId="0" applyFont="1" applyAlignment="1">
      <alignment horizontal="center" vertical="center"/>
    </xf>
    <xf numFmtId="0" fontId="90" fillId="0" borderId="0" xfId="0" applyFont="1" applyAlignment="1">
      <alignment horizontal="center" vertical="center" wrapText="1"/>
    </xf>
    <xf numFmtId="0" fontId="23" fillId="0" borderId="0" xfId="13" applyFont="1"/>
    <xf numFmtId="0" fontId="49" fillId="0" borderId="0" xfId="0" applyFont="1" applyAlignment="1">
      <alignment vertical="center" wrapText="1"/>
    </xf>
    <xf numFmtId="0" fontId="89" fillId="0" borderId="1" xfId="0" applyFont="1" applyBorder="1" applyAlignment="1">
      <alignment horizontal="center" vertical="center" wrapText="1"/>
    </xf>
    <xf numFmtId="0" fontId="89" fillId="0" borderId="1" xfId="0" applyFont="1" applyBorder="1" applyAlignment="1">
      <alignment vertical="center" wrapText="1"/>
    </xf>
    <xf numFmtId="0" fontId="90" fillId="0" borderId="1" xfId="0" applyFont="1" applyBorder="1" applyAlignment="1">
      <alignment horizontal="center" vertical="center" wrapText="1"/>
    </xf>
    <xf numFmtId="0" fontId="93" fillId="0" borderId="1" xfId="0" applyFont="1" applyBorder="1" applyAlignment="1">
      <alignment horizontal="center" vertical="center" wrapText="1"/>
    </xf>
    <xf numFmtId="0" fontId="90" fillId="0" borderId="1" xfId="0" applyFont="1" applyBorder="1" applyAlignment="1">
      <alignment vertical="center" wrapText="1"/>
    </xf>
    <xf numFmtId="0" fontId="93" fillId="0" borderId="1" xfId="0" applyFont="1" applyBorder="1" applyAlignment="1">
      <alignment vertical="center" wrapText="1"/>
    </xf>
    <xf numFmtId="0" fontId="90" fillId="0" borderId="1" xfId="0" applyFont="1" applyBorder="1" applyAlignment="1">
      <alignment horizontal="justify" vertical="center" wrapText="1"/>
    </xf>
    <xf numFmtId="0" fontId="90" fillId="0" borderId="1" xfId="0" applyFont="1" applyBorder="1" applyAlignment="1">
      <alignment horizontal="center" vertical="center"/>
    </xf>
    <xf numFmtId="0" fontId="90" fillId="0" borderId="1" xfId="0" applyFont="1" applyBorder="1" applyAlignment="1">
      <alignment horizontal="left" vertical="center" wrapText="1"/>
    </xf>
    <xf numFmtId="0" fontId="90" fillId="0" borderId="0" xfId="0" applyFont="1" applyAlignment="1">
      <alignment horizontal="justify" vertical="center"/>
    </xf>
    <xf numFmtId="0" fontId="89" fillId="0" borderId="1" xfId="0" applyFont="1" applyBorder="1" applyAlignment="1">
      <alignment horizontal="justify" vertical="center" wrapText="1"/>
    </xf>
    <xf numFmtId="0" fontId="90" fillId="5" borderId="1" xfId="0" applyFont="1" applyFill="1" applyBorder="1" applyAlignment="1">
      <alignment vertical="center" wrapText="1"/>
    </xf>
    <xf numFmtId="0" fontId="23" fillId="0" borderId="1" xfId="0" applyFont="1" applyBorder="1"/>
    <xf numFmtId="0" fontId="23" fillId="0" borderId="1" xfId="0" applyFont="1" applyBorder="1" applyAlignment="1">
      <alignment horizontal="center" vertical="center"/>
    </xf>
    <xf numFmtId="0" fontId="35" fillId="0" borderId="1" xfId="0" applyFont="1" applyBorder="1" applyAlignment="1">
      <alignment vertical="center" wrapText="1"/>
    </xf>
    <xf numFmtId="0" fontId="93" fillId="0" borderId="18" xfId="0" applyFont="1" applyBorder="1" applyAlignment="1">
      <alignment vertical="center" wrapText="1"/>
    </xf>
    <xf numFmtId="0" fontId="90" fillId="5" borderId="1" xfId="0" applyFont="1" applyFill="1" applyBorder="1" applyAlignment="1">
      <alignment horizontal="center" vertical="center" wrapText="1"/>
    </xf>
    <xf numFmtId="165" fontId="18" fillId="0" borderId="0" xfId="0" applyNumberFormat="1" applyFont="1" applyAlignment="1">
      <alignment horizontal="center" vertical="center"/>
    </xf>
    <xf numFmtId="0" fontId="9" fillId="0" borderId="0" xfId="0" applyFont="1" applyAlignment="1">
      <alignment horizontal="right"/>
    </xf>
    <xf numFmtId="0" fontId="89" fillId="0" borderId="1" xfId="0" applyFont="1" applyBorder="1" applyAlignment="1">
      <alignment horizontal="left" vertical="center" wrapText="1"/>
    </xf>
    <xf numFmtId="0" fontId="90" fillId="0" borderId="0" xfId="0" applyFont="1" applyAlignment="1">
      <alignment horizontal="left" vertical="center" wrapText="1"/>
    </xf>
    <xf numFmtId="0" fontId="90" fillId="0" borderId="23" xfId="0" applyFont="1" applyBorder="1" applyAlignment="1">
      <alignment horizontal="center" vertical="center" wrapText="1"/>
    </xf>
    <xf numFmtId="0" fontId="21" fillId="0" borderId="1" xfId="0" applyFont="1" applyBorder="1" applyAlignment="1">
      <alignment vertical="center" wrapText="1"/>
    </xf>
    <xf numFmtId="0" fontId="95" fillId="0" borderId="0" xfId="0" applyFont="1"/>
    <xf numFmtId="0" fontId="21" fillId="0" borderId="1" xfId="0" applyFont="1" applyBorder="1" applyAlignment="1">
      <alignment vertical="center"/>
    </xf>
    <xf numFmtId="0" fontId="21" fillId="0" borderId="0" xfId="0" applyFont="1" applyAlignment="1">
      <alignment vertical="center"/>
    </xf>
    <xf numFmtId="0" fontId="18" fillId="0" borderId="0" xfId="0" applyFont="1" applyAlignment="1">
      <alignment vertical="center" wrapText="1"/>
    </xf>
    <xf numFmtId="0" fontId="21" fillId="0" borderId="1" xfId="0" applyFont="1" applyBorder="1" applyAlignment="1">
      <alignment horizontal="center" vertical="center" wrapText="1"/>
    </xf>
    <xf numFmtId="0" fontId="20" fillId="0" borderId="1" xfId="0" applyFont="1" applyBorder="1" applyAlignment="1">
      <alignment vertical="center"/>
    </xf>
    <xf numFmtId="0" fontId="20" fillId="0" borderId="1" xfId="0" applyFont="1" applyBorder="1" applyAlignment="1">
      <alignment horizontal="center" vertical="center"/>
    </xf>
    <xf numFmtId="0" fontId="20" fillId="0" borderId="1" xfId="0" applyFont="1" applyBorder="1" applyAlignment="1">
      <alignment vertical="center" wrapText="1"/>
    </xf>
    <xf numFmtId="0" fontId="24" fillId="0" borderId="24" xfId="0" applyFont="1" applyBorder="1" applyAlignment="1">
      <alignment horizontal="center" vertical="center" wrapText="1"/>
    </xf>
    <xf numFmtId="0" fontId="102" fillId="4" borderId="0" xfId="0" applyFont="1" applyFill="1"/>
    <xf numFmtId="0" fontId="0" fillId="0" borderId="23" xfId="0" applyBorder="1"/>
    <xf numFmtId="0" fontId="99" fillId="0" borderId="1" xfId="0" applyFont="1" applyBorder="1" applyAlignment="1">
      <alignment horizontal="center" vertical="center" wrapText="1"/>
    </xf>
    <xf numFmtId="0" fontId="21" fillId="0" borderId="1" xfId="0" applyFont="1" applyBorder="1" applyAlignment="1">
      <alignment horizontal="center" vertical="center"/>
    </xf>
    <xf numFmtId="0" fontId="20" fillId="0" borderId="1" xfId="0" applyFont="1" applyBorder="1" applyAlignment="1">
      <alignment horizontal="left"/>
    </xf>
    <xf numFmtId="0" fontId="20" fillId="0" borderId="1" xfId="0" applyFont="1" applyBorder="1" applyAlignment="1">
      <alignment horizontal="left" wrapText="1"/>
    </xf>
    <xf numFmtId="0" fontId="37" fillId="0" borderId="1" xfId="0" applyFont="1" applyBorder="1" applyAlignment="1">
      <alignment horizontal="left" vertical="center" wrapText="1"/>
    </xf>
    <xf numFmtId="0" fontId="36" fillId="0" borderId="24" xfId="0" applyFont="1" applyBorder="1" applyAlignment="1">
      <alignment horizontal="left" vertical="center" wrapText="1"/>
    </xf>
    <xf numFmtId="0" fontId="19" fillId="0" borderId="1" xfId="0" applyFont="1" applyBorder="1" applyAlignment="1">
      <alignment horizontal="left"/>
    </xf>
    <xf numFmtId="0" fontId="23" fillId="0" borderId="0" xfId="0" applyFont="1"/>
    <xf numFmtId="0" fontId="23" fillId="0" borderId="1" xfId="0" applyFont="1" applyBorder="1" applyAlignment="1">
      <alignment horizontal="left"/>
    </xf>
    <xf numFmtId="0" fontId="19" fillId="0" borderId="1" xfId="0" applyFont="1" applyBorder="1" applyAlignment="1">
      <alignment horizontal="center" vertical="center" wrapText="1"/>
    </xf>
    <xf numFmtId="0" fontId="99" fillId="0" borderId="1" xfId="0" applyFont="1" applyBorder="1" applyAlignment="1">
      <alignment vertical="center" wrapText="1"/>
    </xf>
    <xf numFmtId="0" fontId="99" fillId="0" borderId="1" xfId="0" applyFont="1" applyBorder="1" applyAlignment="1">
      <alignment horizontal="left" vertical="center"/>
    </xf>
    <xf numFmtId="0" fontId="15" fillId="4" borderId="0" xfId="13" applyFont="1" applyFill="1" applyAlignment="1">
      <alignment vertical="center" wrapText="1"/>
    </xf>
    <xf numFmtId="0" fontId="15" fillId="4" borderId="0" xfId="0" applyFont="1" applyFill="1" applyAlignment="1">
      <alignment vertical="center" wrapText="1"/>
    </xf>
    <xf numFmtId="0" fontId="103" fillId="4" borderId="0" xfId="0" applyFont="1" applyFill="1" applyAlignment="1">
      <alignment vertical="center" wrapText="1"/>
    </xf>
    <xf numFmtId="0" fontId="20" fillId="0" borderId="1" xfId="0" applyFont="1" applyBorder="1" applyAlignment="1">
      <alignment horizontal="left" vertical="center" wrapText="1"/>
    </xf>
    <xf numFmtId="0" fontId="39" fillId="0" borderId="2" xfId="0" applyFont="1" applyBorder="1" applyAlignment="1">
      <alignment horizontal="center" vertical="center" wrapText="1"/>
    </xf>
    <xf numFmtId="0" fontId="89" fillId="0" borderId="0" xfId="0" applyFont="1" applyAlignment="1">
      <alignment vertical="center" wrapText="1"/>
    </xf>
    <xf numFmtId="0" fontId="33" fillId="4" borderId="0" xfId="13" applyFont="1" applyFill="1" applyAlignment="1">
      <alignment vertical="center"/>
    </xf>
    <xf numFmtId="0" fontId="8" fillId="4" borderId="0" xfId="13" applyFill="1"/>
    <xf numFmtId="0" fontId="23" fillId="0" borderId="0" xfId="0" applyFont="1" applyAlignment="1">
      <alignment horizontal="center" vertical="center" wrapText="1"/>
    </xf>
    <xf numFmtId="0" fontId="34" fillId="0" borderId="0" xfId="7"/>
    <xf numFmtId="0" fontId="34" fillId="0" borderId="0" xfId="7" quotePrefix="1"/>
    <xf numFmtId="0" fontId="15" fillId="4" borderId="0" xfId="13" applyFont="1" applyFill="1" applyAlignment="1">
      <alignment vertical="center"/>
    </xf>
    <xf numFmtId="0" fontId="23" fillId="0" borderId="1" xfId="0" applyFont="1" applyBorder="1" applyAlignment="1">
      <alignment wrapText="1"/>
    </xf>
    <xf numFmtId="0" fontId="28" fillId="0" borderId="0" xfId="0" applyFont="1"/>
    <xf numFmtId="0" fontId="103" fillId="4" borderId="0" xfId="0" applyFont="1" applyFill="1" applyAlignment="1">
      <alignment horizontal="center" vertical="center" wrapText="1"/>
    </xf>
    <xf numFmtId="0" fontId="18" fillId="0" borderId="0" xfId="0" applyFont="1" applyAlignment="1">
      <alignment horizontal="center" vertical="center" wrapText="1"/>
    </xf>
    <xf numFmtId="0" fontId="93" fillId="0" borderId="1" xfId="0" applyFont="1" applyBorder="1" applyAlignment="1">
      <alignment horizontal="left" vertical="center" wrapText="1"/>
    </xf>
    <xf numFmtId="0" fontId="93" fillId="0" borderId="4" xfId="0" applyFont="1" applyBorder="1" applyAlignment="1">
      <alignment vertical="center" wrapText="1"/>
    </xf>
    <xf numFmtId="0" fontId="48" fillId="0" borderId="1" xfId="0" applyFont="1" applyBorder="1" applyAlignment="1">
      <alignment horizontal="center" vertical="center" wrapText="1"/>
    </xf>
    <xf numFmtId="0" fontId="33" fillId="4" borderId="0" xfId="0" applyFont="1" applyFill="1" applyAlignment="1">
      <alignment vertical="center"/>
    </xf>
    <xf numFmtId="0" fontId="15" fillId="4" borderId="7" xfId="0" applyFont="1" applyFill="1" applyBorder="1" applyAlignment="1">
      <alignment vertical="center"/>
    </xf>
    <xf numFmtId="0" fontId="31" fillId="0" borderId="0" xfId="0" applyFont="1" applyAlignment="1">
      <alignment vertical="center" wrapText="1"/>
    </xf>
    <xf numFmtId="0" fontId="22" fillId="0" borderId="0" xfId="0" applyFont="1"/>
    <xf numFmtId="0" fontId="23" fillId="0" borderId="1" xfId="0" applyFont="1" applyBorder="1" applyAlignment="1">
      <alignment vertical="center" wrapText="1"/>
    </xf>
    <xf numFmtId="1" fontId="23" fillId="0" borderId="1" xfId="0" applyNumberFormat="1" applyFont="1" applyBorder="1"/>
    <xf numFmtId="0" fontId="20" fillId="0" borderId="0" xfId="0" applyFont="1" applyAlignment="1">
      <alignment horizontal="center" vertical="center"/>
    </xf>
    <xf numFmtId="0" fontId="101" fillId="0" borderId="0" xfId="0" applyFont="1" applyAlignment="1">
      <alignment horizontal="center" vertical="center"/>
    </xf>
    <xf numFmtId="0" fontId="90" fillId="0" borderId="24" xfId="0" applyFont="1" applyBorder="1" applyAlignment="1">
      <alignment horizontal="center" vertical="center" wrapText="1"/>
    </xf>
    <xf numFmtId="0" fontId="20" fillId="0" borderId="18" xfId="0" applyFont="1" applyBorder="1" applyAlignment="1">
      <alignment vertical="center"/>
    </xf>
    <xf numFmtId="0" fontId="20" fillId="0" borderId="0" xfId="0" applyFont="1"/>
    <xf numFmtId="0" fontId="38" fillId="3" borderId="0" xfId="0" applyFont="1" applyFill="1" applyAlignment="1">
      <alignment horizontal="left" vertical="center" wrapText="1"/>
    </xf>
    <xf numFmtId="0" fontId="92" fillId="0" borderId="0" xfId="0" applyFont="1"/>
    <xf numFmtId="0" fontId="97" fillId="0" borderId="0" xfId="0" applyFont="1"/>
    <xf numFmtId="0" fontId="15" fillId="4" borderId="0" xfId="0" applyFont="1" applyFill="1" applyAlignment="1">
      <alignment vertical="center"/>
    </xf>
    <xf numFmtId="0" fontId="23" fillId="0" borderId="0" xfId="0" applyFont="1" applyAlignment="1">
      <alignment horizontal="center" vertical="center"/>
    </xf>
    <xf numFmtId="0" fontId="39" fillId="0" borderId="24" xfId="0" applyFont="1" applyBorder="1" applyAlignment="1">
      <alignment horizontal="center" vertical="center" wrapText="1"/>
    </xf>
    <xf numFmtId="0" fontId="33" fillId="4" borderId="7" xfId="0" applyFont="1" applyFill="1" applyBorder="1" applyAlignment="1">
      <alignment vertical="center"/>
    </xf>
    <xf numFmtId="0" fontId="40" fillId="4" borderId="0" xfId="0" applyFont="1" applyFill="1" applyAlignment="1">
      <alignment vertical="center" wrapText="1"/>
    </xf>
    <xf numFmtId="0" fontId="20" fillId="0" borderId="0" xfId="13" applyFont="1" applyAlignment="1">
      <alignment horizontal="left" vertical="center" wrapText="1"/>
    </xf>
    <xf numFmtId="0" fontId="19" fillId="0" borderId="1" xfId="0" applyFont="1" applyBorder="1"/>
    <xf numFmtId="0" fontId="97" fillId="0" borderId="0" xfId="0" applyFont="1" applyAlignment="1">
      <alignment horizontal="center" vertical="center"/>
    </xf>
    <xf numFmtId="165" fontId="96" fillId="0" borderId="0" xfId="0" applyNumberFormat="1" applyFont="1" applyAlignment="1">
      <alignment horizontal="center" vertical="center" wrapText="1"/>
    </xf>
    <xf numFmtId="165" fontId="97" fillId="0" borderId="0" xfId="0" applyNumberFormat="1" applyFont="1" applyAlignment="1">
      <alignment horizontal="center" vertical="center" wrapText="1"/>
    </xf>
    <xf numFmtId="0" fontId="19" fillId="0" borderId="0" xfId="0" applyFont="1" applyAlignment="1">
      <alignment horizontal="center" vertical="center" wrapText="1"/>
    </xf>
    <xf numFmtId="0" fontId="93" fillId="0" borderId="0" xfId="0" applyFont="1" applyAlignment="1">
      <alignment horizontal="center" vertical="center" wrapText="1"/>
    </xf>
    <xf numFmtId="165" fontId="48" fillId="0" borderId="0" xfId="0" applyNumberFormat="1" applyFont="1" applyAlignment="1">
      <alignment horizontal="center" vertical="center" wrapText="1"/>
    </xf>
    <xf numFmtId="0" fontId="20" fillId="0" borderId="0" xfId="0" applyFont="1" applyAlignment="1">
      <alignment vertical="center" wrapText="1"/>
    </xf>
    <xf numFmtId="0" fontId="19" fillId="0" borderId="0" xfId="0" applyFont="1" applyAlignment="1">
      <alignment horizontal="center" vertical="center"/>
    </xf>
    <xf numFmtId="0" fontId="109" fillId="0" borderId="0" xfId="0" applyFont="1" applyAlignment="1">
      <alignment vertical="center" wrapText="1"/>
    </xf>
    <xf numFmtId="0" fontId="100" fillId="0" borderId="0" xfId="0" applyFont="1" applyAlignment="1">
      <alignment horizontal="center" vertical="center"/>
    </xf>
    <xf numFmtId="0" fontId="46" fillId="0" borderId="0" xfId="0" applyFont="1" applyAlignment="1">
      <alignment vertical="center" wrapText="1"/>
    </xf>
    <xf numFmtId="165" fontId="93" fillId="0" borderId="0" xfId="0" applyNumberFormat="1" applyFont="1" applyAlignment="1">
      <alignment horizontal="center" vertical="center" wrapText="1"/>
    </xf>
    <xf numFmtId="0" fontId="45" fillId="0" borderId="0" xfId="0" applyFont="1" applyAlignment="1">
      <alignment vertical="center" wrapText="1"/>
    </xf>
    <xf numFmtId="0" fontId="98" fillId="0" borderId="0" xfId="0" applyFont="1" applyAlignment="1">
      <alignment horizontal="center" vertical="center" wrapText="1"/>
    </xf>
    <xf numFmtId="0" fontId="23" fillId="0" borderId="0" xfId="0" applyFont="1" applyAlignment="1">
      <alignment vertical="center" wrapText="1"/>
    </xf>
    <xf numFmtId="0" fontId="100" fillId="0" borderId="0" xfId="0" applyFont="1" applyAlignment="1">
      <alignment horizontal="center" vertical="center" wrapText="1"/>
    </xf>
    <xf numFmtId="0" fontId="19" fillId="0" borderId="0" xfId="13" applyFont="1" applyAlignment="1">
      <alignment horizontal="center" vertical="center" wrapText="1"/>
    </xf>
    <xf numFmtId="0" fontId="23" fillId="0" borderId="0" xfId="13" applyFont="1" applyAlignment="1">
      <alignment horizontal="center" vertical="center"/>
    </xf>
    <xf numFmtId="0" fontId="20" fillId="0" borderId="0" xfId="13" applyFont="1" applyAlignment="1">
      <alignment horizontal="center" vertical="center"/>
    </xf>
    <xf numFmtId="0" fontId="100" fillId="0" borderId="0" xfId="13" applyFont="1" applyAlignment="1">
      <alignment horizontal="center" vertical="center" wrapText="1"/>
    </xf>
    <xf numFmtId="0" fontId="97" fillId="0" borderId="0" xfId="13" applyFont="1" applyAlignment="1">
      <alignment horizontal="center" vertical="center"/>
    </xf>
    <xf numFmtId="0" fontId="21" fillId="0" borderId="0" xfId="13" applyFont="1" applyAlignment="1">
      <alignment horizontal="center" vertical="center" wrapText="1"/>
    </xf>
    <xf numFmtId="0" fontId="19" fillId="0" borderId="24" xfId="0" applyFont="1" applyBorder="1" applyAlignment="1">
      <alignment horizontal="left" vertical="center"/>
    </xf>
    <xf numFmtId="0" fontId="19" fillId="0" borderId="27" xfId="0" applyFont="1" applyBorder="1" applyAlignment="1">
      <alignment horizontal="left" vertical="center"/>
    </xf>
    <xf numFmtId="0" fontId="21" fillId="0" borderId="24" xfId="13" applyFont="1" applyBorder="1" applyAlignment="1">
      <alignment horizontal="center" vertical="center" wrapText="1"/>
    </xf>
    <xf numFmtId="0" fontId="21" fillId="0" borderId="1" xfId="13" applyFont="1" applyBorder="1" applyAlignment="1">
      <alignment vertical="center" wrapText="1"/>
    </xf>
    <xf numFmtId="165" fontId="21" fillId="0" borderId="0" xfId="0" applyNumberFormat="1" applyFont="1" applyAlignment="1">
      <alignment horizontal="center" vertical="center" wrapText="1"/>
    </xf>
    <xf numFmtId="0" fontId="14" fillId="0" borderId="0" xfId="0" applyFont="1" applyAlignment="1">
      <alignment horizontal="center" vertical="center"/>
    </xf>
    <xf numFmtId="0" fontId="14" fillId="0" borderId="0" xfId="0" applyFont="1" applyAlignment="1">
      <alignment wrapText="1"/>
    </xf>
    <xf numFmtId="0" fontId="14" fillId="0" borderId="0" xfId="0" applyFont="1" applyAlignment="1">
      <alignment horizontal="center" vertical="center" wrapText="1"/>
    </xf>
    <xf numFmtId="0" fontId="36" fillId="0" borderId="1" xfId="0" applyFont="1" applyBorder="1" applyAlignment="1">
      <alignment horizontal="center" vertical="center" wrapText="1"/>
    </xf>
    <xf numFmtId="0" fontId="20" fillId="3" borderId="1" xfId="0" applyFont="1" applyFill="1" applyBorder="1" applyAlignment="1">
      <alignment horizontal="center" vertical="center"/>
    </xf>
    <xf numFmtId="0" fontId="40" fillId="0" borderId="0" xfId="0" applyFont="1" applyAlignment="1">
      <alignment vertical="center" wrapText="1"/>
    </xf>
    <xf numFmtId="0" fontId="111" fillId="4" borderId="0" xfId="0" applyFont="1" applyFill="1" applyAlignment="1">
      <alignment vertical="center"/>
    </xf>
    <xf numFmtId="0" fontId="112" fillId="4" borderId="0" xfId="0" applyFont="1" applyFill="1" applyAlignment="1">
      <alignment vertical="center"/>
    </xf>
    <xf numFmtId="0" fontId="24" fillId="0" borderId="18" xfId="0" applyFont="1" applyBorder="1" applyAlignment="1">
      <alignment horizontal="center" vertical="center" wrapText="1"/>
    </xf>
    <xf numFmtId="0" fontId="93" fillId="0" borderId="0" xfId="0" applyFont="1" applyAlignment="1">
      <alignment horizontal="left" vertical="center" wrapText="1" indent="1"/>
    </xf>
    <xf numFmtId="0" fontId="96" fillId="0" borderId="0" xfId="0" applyFont="1" applyAlignment="1">
      <alignment horizontal="center" vertical="center" wrapText="1"/>
    </xf>
    <xf numFmtId="0" fontId="90" fillId="5" borderId="0" xfId="0" applyFont="1" applyFill="1" applyAlignment="1">
      <alignment horizontal="center" vertical="center" wrapText="1"/>
    </xf>
    <xf numFmtId="165" fontId="90" fillId="0" borderId="0" xfId="0" applyNumberFormat="1" applyFont="1" applyAlignment="1">
      <alignment horizontal="center" vertical="center" wrapText="1"/>
    </xf>
    <xf numFmtId="0" fontId="100" fillId="0" borderId="18" xfId="0" applyFont="1" applyBorder="1" applyAlignment="1">
      <alignment horizontal="center" vertical="center" wrapText="1"/>
    </xf>
    <xf numFmtId="0" fontId="96" fillId="0" borderId="23" xfId="0" applyFont="1" applyBorder="1" applyAlignment="1">
      <alignment horizontal="center" vertical="center" wrapText="1"/>
    </xf>
    <xf numFmtId="0" fontId="19" fillId="0" borderId="28" xfId="0" applyFont="1" applyBorder="1"/>
    <xf numFmtId="0" fontId="0" fillId="0" borderId="23" xfId="0" applyBorder="1" applyAlignment="1">
      <alignment horizontal="center" vertical="center"/>
    </xf>
    <xf numFmtId="0" fontId="17" fillId="0" borderId="23" xfId="0" applyFont="1" applyBorder="1" applyAlignment="1">
      <alignment horizontal="center" vertical="center"/>
    </xf>
    <xf numFmtId="0" fontId="90" fillId="5" borderId="23" xfId="0" applyFont="1" applyFill="1" applyBorder="1" applyAlignment="1">
      <alignment horizontal="center" vertical="center" wrapText="1"/>
    </xf>
    <xf numFmtId="0" fontId="89" fillId="5" borderId="23" xfId="0" applyFont="1" applyFill="1" applyBorder="1" applyAlignment="1">
      <alignment vertical="center" wrapText="1"/>
    </xf>
    <xf numFmtId="0" fontId="23" fillId="0" borderId="23" xfId="0" applyFont="1" applyBorder="1" applyAlignment="1">
      <alignment horizontal="center" vertical="center"/>
    </xf>
    <xf numFmtId="0" fontId="21" fillId="0" borderId="23" xfId="0" applyFont="1" applyBorder="1" applyAlignment="1">
      <alignment horizontal="center" vertical="center"/>
    </xf>
    <xf numFmtId="3" fontId="21" fillId="0" borderId="23" xfId="0" applyNumberFormat="1" applyFont="1" applyBorder="1" applyAlignment="1">
      <alignment horizontal="center" vertical="center"/>
    </xf>
    <xf numFmtId="3" fontId="20" fillId="0" borderId="23" xfId="0" applyNumberFormat="1" applyFont="1" applyBorder="1"/>
    <xf numFmtId="0" fontId="21" fillId="0" borderId="23" xfId="0" applyFont="1" applyBorder="1" applyAlignment="1">
      <alignment horizontal="center" vertical="center" wrapText="1"/>
    </xf>
    <xf numFmtId="0" fontId="97" fillId="0" borderId="23" xfId="0" applyFont="1" applyBorder="1"/>
    <xf numFmtId="0" fontId="19" fillId="0" borderId="23" xfId="0" applyFont="1" applyBorder="1" applyAlignment="1">
      <alignment horizontal="left"/>
    </xf>
    <xf numFmtId="3" fontId="20" fillId="0" borderId="0" xfId="0" applyNumberFormat="1" applyFont="1" applyAlignment="1">
      <alignment horizontal="center" vertical="center"/>
    </xf>
    <xf numFmtId="3" fontId="0" fillId="0" borderId="0" xfId="0" applyNumberFormat="1"/>
    <xf numFmtId="3" fontId="20" fillId="0" borderId="0" xfId="0" applyNumberFormat="1" applyFont="1"/>
    <xf numFmtId="0" fontId="99" fillId="0" borderId="23" xfId="0" applyFont="1" applyBorder="1" applyAlignment="1">
      <alignment vertical="center" wrapText="1"/>
    </xf>
    <xf numFmtId="0" fontId="93" fillId="0" borderId="23" xfId="0" applyFont="1" applyBorder="1" applyAlignment="1">
      <alignment horizontal="center" vertical="center" wrapText="1"/>
    </xf>
    <xf numFmtId="1" fontId="90" fillId="0" borderId="23" xfId="0" applyNumberFormat="1" applyFont="1" applyBorder="1" applyAlignment="1">
      <alignment horizontal="center" vertical="center" wrapText="1"/>
    </xf>
    <xf numFmtId="1" fontId="0" fillId="0" borderId="23" xfId="0" applyNumberFormat="1" applyBorder="1"/>
    <xf numFmtId="0" fontId="35" fillId="0" borderId="23" xfId="0" applyFont="1" applyBorder="1" applyAlignment="1">
      <alignment vertical="center" wrapText="1"/>
    </xf>
    <xf numFmtId="3" fontId="21" fillId="0" borderId="0" xfId="0" applyNumberFormat="1" applyFont="1" applyAlignment="1">
      <alignment vertical="center" wrapText="1"/>
    </xf>
    <xf numFmtId="0" fontId="23" fillId="0" borderId="18" xfId="0" applyFont="1" applyBorder="1" applyAlignment="1">
      <alignment horizontal="center" vertical="center"/>
    </xf>
    <xf numFmtId="165" fontId="18" fillId="0" borderId="0" xfId="0" applyNumberFormat="1" applyFont="1" applyAlignment="1">
      <alignment horizontal="center" vertical="center" wrapText="1"/>
    </xf>
    <xf numFmtId="0" fontId="20" fillId="0" borderId="0" xfId="13" applyFont="1" applyAlignment="1">
      <alignment horizontal="center" vertical="center" wrapText="1"/>
    </xf>
    <xf numFmtId="0" fontId="93" fillId="0" borderId="0" xfId="0" applyFont="1" applyAlignment="1">
      <alignment horizontal="center" vertical="center"/>
    </xf>
    <xf numFmtId="0" fontId="35" fillId="0" borderId="0" xfId="0" applyFont="1" applyAlignment="1">
      <alignment horizontal="left" vertical="center" wrapText="1"/>
    </xf>
    <xf numFmtId="0" fontId="90" fillId="0" borderId="0" xfId="0" applyFont="1" applyAlignment="1">
      <alignment vertical="center" wrapText="1"/>
    </xf>
    <xf numFmtId="0" fontId="97" fillId="0" borderId="23" xfId="13" applyFont="1" applyBorder="1"/>
    <xf numFmtId="0" fontId="20" fillId="0" borderId="18" xfId="0" applyFont="1" applyBorder="1" applyAlignment="1">
      <alignment horizontal="center" vertical="center"/>
    </xf>
    <xf numFmtId="0" fontId="89" fillId="5" borderId="5" xfId="0" applyFont="1" applyFill="1" applyBorder="1" applyAlignment="1">
      <alignment vertical="center" wrapText="1"/>
    </xf>
    <xf numFmtId="0" fontId="21" fillId="0" borderId="18" xfId="0" applyFont="1" applyBorder="1" applyAlignment="1">
      <alignment vertical="center"/>
    </xf>
    <xf numFmtId="0" fontId="23" fillId="0" borderId="0" xfId="0" applyFont="1" applyAlignment="1">
      <alignment horizontal="left" vertical="center"/>
    </xf>
    <xf numFmtId="1" fontId="28" fillId="0" borderId="0" xfId="0" applyNumberFormat="1" applyFont="1" applyAlignment="1">
      <alignment horizontal="center" vertical="center"/>
    </xf>
    <xf numFmtId="2" fontId="104" fillId="0" borderId="0" xfId="0" applyNumberFormat="1" applyFont="1" applyAlignment="1">
      <alignment horizontal="center" vertical="center"/>
    </xf>
    <xf numFmtId="0" fontId="33" fillId="4" borderId="0" xfId="0" applyFont="1" applyFill="1" applyAlignment="1">
      <alignment vertical="center" wrapText="1"/>
    </xf>
    <xf numFmtId="0" fontId="19" fillId="0" borderId="18" xfId="0" applyFont="1" applyBorder="1" applyAlignment="1">
      <alignment vertical="center"/>
    </xf>
    <xf numFmtId="0" fontId="20" fillId="0" borderId="18" xfId="0" applyFont="1" applyBorder="1"/>
    <xf numFmtId="0" fontId="23" fillId="0" borderId="1" xfId="0" applyFont="1" applyBorder="1" applyAlignment="1">
      <alignment horizontal="center" vertical="center" wrapText="1"/>
    </xf>
    <xf numFmtId="0" fontId="17" fillId="0" borderId="0" xfId="0" applyFont="1" applyAlignment="1">
      <alignment horizontal="center" vertical="center"/>
    </xf>
    <xf numFmtId="0" fontId="25" fillId="0" borderId="0" xfId="0" applyFont="1" applyAlignment="1">
      <alignment horizontal="center" vertical="center"/>
    </xf>
    <xf numFmtId="0" fontId="51" fillId="0" borderId="1" xfId="0" applyFont="1" applyBorder="1" applyAlignment="1">
      <alignment horizontal="center" vertical="center" wrapText="1"/>
    </xf>
    <xf numFmtId="0" fontId="11" fillId="0" borderId="1" xfId="0" applyFont="1" applyBorder="1" applyAlignment="1">
      <alignment horizontal="center" vertical="center"/>
    </xf>
    <xf numFmtId="0" fontId="106" fillId="0" borderId="1" xfId="0" applyFont="1" applyBorder="1" applyAlignment="1">
      <alignment horizontal="center" vertical="center"/>
    </xf>
    <xf numFmtId="0" fontId="11" fillId="0" borderId="18" xfId="0" applyFont="1" applyBorder="1" applyAlignment="1">
      <alignment horizontal="center" vertical="center"/>
    </xf>
    <xf numFmtId="0" fontId="47" fillId="0" borderId="1" xfId="0" applyFont="1" applyBorder="1" applyAlignment="1">
      <alignment vertical="center" wrapText="1"/>
    </xf>
    <xf numFmtId="0" fontId="48" fillId="0" borderId="1" xfId="0" applyFont="1" applyBorder="1" applyAlignment="1">
      <alignment horizontal="center" wrapText="1"/>
    </xf>
    <xf numFmtId="0" fontId="48" fillId="0" borderId="18" xfId="0" applyFont="1" applyBorder="1" applyAlignment="1">
      <alignment vertical="center" wrapText="1"/>
    </xf>
    <xf numFmtId="0" fontId="48" fillId="0" borderId="1" xfId="0" applyFont="1" applyBorder="1" applyAlignment="1">
      <alignment vertical="center" wrapText="1"/>
    </xf>
    <xf numFmtId="0" fontId="51" fillId="0" borderId="1" xfId="0" applyFont="1" applyBorder="1" applyAlignment="1">
      <alignment horizontal="center" vertical="center"/>
    </xf>
    <xf numFmtId="0" fontId="51" fillId="0" borderId="18" xfId="0" applyFont="1" applyBorder="1" applyAlignment="1">
      <alignment horizontal="center" vertical="center"/>
    </xf>
    <xf numFmtId="0" fontId="11" fillId="0" borderId="18" xfId="10" applyFont="1" applyBorder="1" applyAlignment="1">
      <alignment horizontal="center" vertical="center" wrapText="1"/>
    </xf>
    <xf numFmtId="0" fontId="50" fillId="0" borderId="1" xfId="0" applyFont="1" applyBorder="1" applyAlignment="1">
      <alignment horizontal="center" vertical="center" wrapText="1"/>
    </xf>
    <xf numFmtId="0" fontId="50" fillId="0" borderId="1" xfId="0" applyFont="1" applyBorder="1" applyAlignment="1">
      <alignment horizontal="center" vertical="center"/>
    </xf>
    <xf numFmtId="0" fontId="51" fillId="0" borderId="18" xfId="0" applyFont="1" applyBorder="1" applyAlignment="1">
      <alignment horizontal="center" vertical="center" wrapText="1"/>
    </xf>
    <xf numFmtId="0" fontId="50" fillId="0" borderId="18" xfId="0" applyFont="1" applyBorder="1" applyAlignment="1">
      <alignment horizontal="center" vertical="center" wrapText="1"/>
    </xf>
    <xf numFmtId="0" fontId="48" fillId="2" borderId="1" xfId="0" applyFont="1" applyFill="1" applyBorder="1" applyAlignment="1">
      <alignment vertical="center" wrapText="1"/>
    </xf>
    <xf numFmtId="0" fontId="113" fillId="0" borderId="1" xfId="0" applyFont="1" applyBorder="1" applyAlignment="1">
      <alignment horizontal="center" vertical="center" wrapText="1"/>
    </xf>
    <xf numFmtId="0" fontId="113" fillId="0" borderId="1" xfId="0" applyFont="1" applyBorder="1" applyAlignment="1">
      <alignment vertical="center" wrapText="1"/>
    </xf>
    <xf numFmtId="0" fontId="113" fillId="0" borderId="1" xfId="0" applyFont="1" applyBorder="1" applyAlignment="1">
      <alignment horizontal="left" vertical="center" wrapText="1"/>
    </xf>
    <xf numFmtId="0" fontId="113" fillId="2" borderId="1" xfId="0" applyFont="1" applyFill="1" applyBorder="1" applyAlignment="1">
      <alignment horizontal="left" vertical="center" wrapText="1"/>
    </xf>
    <xf numFmtId="3" fontId="113" fillId="2" borderId="1" xfId="0" applyNumberFormat="1" applyFont="1" applyFill="1" applyBorder="1" applyAlignment="1">
      <alignment horizontal="left" vertical="center" wrapText="1"/>
    </xf>
    <xf numFmtId="3" fontId="113" fillId="2" borderId="1" xfId="0" applyNumberFormat="1" applyFont="1" applyFill="1" applyBorder="1" applyAlignment="1">
      <alignment horizontal="center" vertical="center" wrapText="1"/>
    </xf>
    <xf numFmtId="3" fontId="48" fillId="2" borderId="1" xfId="0" applyNumberFormat="1" applyFont="1" applyFill="1" applyBorder="1" applyAlignment="1">
      <alignment horizontal="left" wrapText="1"/>
    </xf>
    <xf numFmtId="3" fontId="48" fillId="2" borderId="1" xfId="0" applyNumberFormat="1" applyFont="1" applyFill="1" applyBorder="1" applyAlignment="1">
      <alignment horizontal="center" vertical="center" wrapText="1"/>
    </xf>
    <xf numFmtId="3" fontId="48" fillId="2" borderId="1" xfId="0" applyNumberFormat="1" applyFont="1" applyFill="1" applyBorder="1" applyAlignment="1">
      <alignment horizontal="left" vertical="center" wrapText="1"/>
    </xf>
    <xf numFmtId="0" fontId="48" fillId="2" borderId="1" xfId="0" applyFont="1" applyFill="1" applyBorder="1" applyAlignment="1">
      <alignment horizontal="left" wrapText="1"/>
    </xf>
    <xf numFmtId="0" fontId="93" fillId="0" borderId="0" xfId="0" applyFont="1" applyAlignment="1">
      <alignment vertical="center" wrapText="1"/>
    </xf>
    <xf numFmtId="165" fontId="20" fillId="3" borderId="1" xfId="0" applyNumberFormat="1" applyFont="1" applyFill="1" applyBorder="1" applyAlignment="1">
      <alignment horizontal="center" vertical="center"/>
    </xf>
    <xf numFmtId="0" fontId="19" fillId="3" borderId="1" xfId="0" applyFont="1" applyFill="1" applyBorder="1" applyAlignment="1">
      <alignment horizontal="center" vertical="center"/>
    </xf>
    <xf numFmtId="165" fontId="20" fillId="0" borderId="1" xfId="0" applyNumberFormat="1" applyFont="1" applyBorder="1" applyAlignment="1">
      <alignment horizontal="center" vertical="center"/>
    </xf>
    <xf numFmtId="0" fontId="23" fillId="0" borderId="18" xfId="0" applyFont="1" applyBorder="1"/>
    <xf numFmtId="0" fontId="105" fillId="0" borderId="23" xfId="0" applyFont="1" applyBorder="1" applyAlignment="1">
      <alignment vertical="center" wrapText="1"/>
    </xf>
    <xf numFmtId="0" fontId="94" fillId="0" borderId="23" xfId="0" applyFont="1" applyBorder="1" applyAlignment="1">
      <alignment horizontal="center" vertical="center" wrapText="1"/>
    </xf>
    <xf numFmtId="0" fontId="120" fillId="0" borderId="23" xfId="0" applyFont="1" applyBorder="1" applyAlignment="1">
      <alignment horizontal="center" vertical="center" wrapText="1"/>
    </xf>
    <xf numFmtId="0" fontId="89" fillId="0" borderId="23" xfId="0" applyFont="1" applyBorder="1" applyAlignment="1">
      <alignment vertical="center" wrapText="1"/>
    </xf>
    <xf numFmtId="165" fontId="20" fillId="0" borderId="23" xfId="0" applyNumberFormat="1" applyFont="1" applyBorder="1" applyAlignment="1">
      <alignment horizontal="center" vertical="center"/>
    </xf>
    <xf numFmtId="0" fontId="23" fillId="0" borderId="23" xfId="0" applyFont="1" applyBorder="1"/>
    <xf numFmtId="1" fontId="48" fillId="0" borderId="1" xfId="0" applyNumberFormat="1" applyFont="1" applyBorder="1" applyAlignment="1">
      <alignment horizontal="center" vertical="center"/>
    </xf>
    <xf numFmtId="0" fontId="48" fillId="0" borderId="1" xfId="0" applyFont="1" applyBorder="1" applyAlignment="1">
      <alignment horizontal="center" vertical="center"/>
    </xf>
    <xf numFmtId="166" fontId="23" fillId="0" borderId="1" xfId="0" applyNumberFormat="1" applyFont="1" applyBorder="1" applyAlignment="1">
      <alignment horizontal="center" vertical="center" wrapText="1"/>
    </xf>
    <xf numFmtId="0" fontId="100" fillId="0" borderId="23" xfId="0" applyFont="1" applyBorder="1" applyAlignment="1">
      <alignment horizontal="center" wrapText="1"/>
    </xf>
    <xf numFmtId="0" fontId="97" fillId="0" borderId="23" xfId="0" applyFont="1" applyBorder="1" applyAlignment="1">
      <alignment horizontal="center" vertical="center"/>
    </xf>
    <xf numFmtId="0" fontId="35" fillId="0" borderId="23" xfId="0" applyFont="1" applyBorder="1" applyAlignment="1">
      <alignment horizontal="center" wrapText="1"/>
    </xf>
    <xf numFmtId="3" fontId="23" fillId="0" borderId="1" xfId="0" applyNumberFormat="1" applyFont="1" applyBorder="1" applyAlignment="1">
      <alignment horizontal="center" vertical="center"/>
    </xf>
    <xf numFmtId="165" fontId="23" fillId="0" borderId="0" xfId="0" applyNumberFormat="1" applyFont="1"/>
    <xf numFmtId="0" fontId="47" fillId="3" borderId="1" xfId="0" applyFont="1" applyFill="1" applyBorder="1" applyAlignment="1">
      <alignment vertical="center" wrapText="1"/>
    </xf>
    <xf numFmtId="0" fontId="48" fillId="3" borderId="1" xfId="0" applyFont="1" applyFill="1" applyBorder="1" applyAlignment="1">
      <alignment horizontal="center" vertical="center" wrapText="1"/>
    </xf>
    <xf numFmtId="0" fontId="106" fillId="0" borderId="28" xfId="0" applyFont="1" applyBorder="1" applyAlignment="1">
      <alignment vertical="center" wrapText="1"/>
    </xf>
    <xf numFmtId="0" fontId="48" fillId="0" borderId="23" xfId="0" applyFont="1" applyBorder="1" applyAlignment="1">
      <alignment horizontal="center" vertical="center" wrapText="1"/>
    </xf>
    <xf numFmtId="165" fontId="23" fillId="0" borderId="23" xfId="0" applyNumberFormat="1" applyFont="1" applyBorder="1" applyAlignment="1">
      <alignment horizontal="center" vertical="center"/>
    </xf>
    <xf numFmtId="0" fontId="106" fillId="0" borderId="1" xfId="0" applyFont="1" applyBorder="1" applyAlignment="1">
      <alignment vertical="center" wrapText="1"/>
    </xf>
    <xf numFmtId="0" fontId="48" fillId="0" borderId="18" xfId="0" applyFont="1" applyBorder="1" applyAlignment="1">
      <alignment horizontal="center" vertical="center" wrapText="1"/>
    </xf>
    <xf numFmtId="0" fontId="23" fillId="0" borderId="18" xfId="0" applyFont="1" applyBorder="1" applyAlignment="1">
      <alignment vertical="center" wrapText="1"/>
    </xf>
    <xf numFmtId="0" fontId="106" fillId="0" borderId="0" xfId="0" applyFont="1" applyAlignment="1">
      <alignment vertical="center" wrapText="1"/>
    </xf>
    <xf numFmtId="0" fontId="48" fillId="0" borderId="0" xfId="0" applyFont="1" applyAlignment="1">
      <alignment horizontal="center" vertical="center" wrapText="1"/>
    </xf>
    <xf numFmtId="165" fontId="23" fillId="0" borderId="0" xfId="0" applyNumberFormat="1" applyFont="1" applyAlignment="1">
      <alignment horizontal="center" vertical="center"/>
    </xf>
    <xf numFmtId="0" fontId="48" fillId="5" borderId="1" xfId="0" applyFont="1" applyFill="1" applyBorder="1" applyAlignment="1">
      <alignment horizontal="center" vertical="center"/>
    </xf>
    <xf numFmtId="3" fontId="19" fillId="3" borderId="1" xfId="0" applyNumberFormat="1" applyFont="1" applyFill="1" applyBorder="1" applyAlignment="1">
      <alignment horizontal="center" vertical="center" wrapText="1"/>
    </xf>
    <xf numFmtId="3" fontId="20" fillId="3" borderId="1" xfId="0" applyNumberFormat="1" applyFont="1" applyFill="1" applyBorder="1" applyAlignment="1">
      <alignment horizontal="center" vertical="center" wrapText="1"/>
    </xf>
    <xf numFmtId="3" fontId="20" fillId="0" borderId="1" xfId="0" applyNumberFormat="1" applyFont="1" applyBorder="1" applyAlignment="1">
      <alignment horizontal="center" vertical="center" wrapText="1"/>
    </xf>
    <xf numFmtId="3" fontId="20" fillId="3" borderId="1" xfId="0" applyNumberFormat="1" applyFont="1" applyFill="1" applyBorder="1" applyAlignment="1" applyProtection="1">
      <alignment horizontal="center" vertical="center"/>
      <protection hidden="1"/>
    </xf>
    <xf numFmtId="3" fontId="20" fillId="0" borderId="1" xfId="0" applyNumberFormat="1" applyFont="1" applyBorder="1" applyAlignment="1">
      <alignment horizontal="center" vertical="center"/>
    </xf>
    <xf numFmtId="1" fontId="20" fillId="0" borderId="1" xfId="0" applyNumberFormat="1" applyFont="1" applyBorder="1" applyAlignment="1">
      <alignment horizontal="center" vertical="center"/>
    </xf>
    <xf numFmtId="165" fontId="20" fillId="0" borderId="1" xfId="0" applyNumberFormat="1" applyFont="1" applyBorder="1" applyAlignment="1">
      <alignment horizontal="center" vertical="center" wrapText="1"/>
    </xf>
    <xf numFmtId="0" fontId="20" fillId="0" borderId="1" xfId="0" applyFont="1" applyBorder="1" applyAlignment="1">
      <alignment horizontal="center" vertical="center" wrapText="1"/>
    </xf>
    <xf numFmtId="0" fontId="19" fillId="0" borderId="18" xfId="0" applyFont="1" applyBorder="1" applyAlignment="1">
      <alignment horizontal="center" vertical="center"/>
    </xf>
    <xf numFmtId="3" fontId="19" fillId="0" borderId="1" xfId="0" applyNumberFormat="1" applyFont="1" applyBorder="1" applyAlignment="1">
      <alignment horizontal="center" vertical="center"/>
    </xf>
    <xf numFmtId="3" fontId="36" fillId="0" borderId="1" xfId="0" applyNumberFormat="1" applyFont="1" applyBorder="1" applyAlignment="1">
      <alignment horizontal="center" vertical="center"/>
    </xf>
    <xf numFmtId="1" fontId="23" fillId="0" borderId="1" xfId="0" applyNumberFormat="1" applyFont="1" applyBorder="1" applyAlignment="1">
      <alignment horizontal="center" vertical="center" wrapText="1"/>
    </xf>
    <xf numFmtId="1" fontId="23" fillId="0" borderId="1" xfId="0" applyNumberFormat="1" applyFont="1" applyBorder="1" applyAlignment="1">
      <alignment horizontal="center" vertical="center"/>
    </xf>
    <xf numFmtId="0" fontId="113" fillId="0" borderId="1" xfId="0" applyFont="1" applyBorder="1" applyAlignment="1">
      <alignment horizontal="center" vertical="center"/>
    </xf>
    <xf numFmtId="0" fontId="20" fillId="0" borderId="0" xfId="13" applyFont="1"/>
    <xf numFmtId="166" fontId="20" fillId="0" borderId="1" xfId="13" applyNumberFormat="1" applyFont="1" applyBorder="1" applyAlignment="1">
      <alignment horizontal="center" vertical="center" wrapText="1"/>
    </xf>
    <xf numFmtId="0" fontId="99" fillId="0" borderId="0" xfId="13" applyFont="1" applyAlignment="1">
      <alignment horizontal="justify" vertical="center" wrapText="1"/>
    </xf>
    <xf numFmtId="166" fontId="20" fillId="0" borderId="0" xfId="13" applyNumberFormat="1" applyFont="1" applyAlignment="1">
      <alignment horizontal="center" vertical="center" wrapText="1"/>
    </xf>
    <xf numFmtId="0" fontId="19" fillId="0" borderId="1" xfId="0" applyFont="1" applyBorder="1" applyAlignment="1">
      <alignment horizontal="center" vertical="center"/>
    </xf>
    <xf numFmtId="3" fontId="93" fillId="0" borderId="1" xfId="0" applyNumberFormat="1" applyFont="1" applyBorder="1" applyAlignment="1">
      <alignment horizontal="center" vertical="center" wrapText="1"/>
    </xf>
    <xf numFmtId="0" fontId="19" fillId="3" borderId="1" xfId="0" applyFont="1" applyFill="1" applyBorder="1" applyAlignment="1">
      <alignment horizontal="left" vertical="center"/>
    </xf>
    <xf numFmtId="165" fontId="19" fillId="0" borderId="1" xfId="0" applyNumberFormat="1" applyFont="1" applyBorder="1" applyAlignment="1">
      <alignment horizontal="center" vertical="center"/>
    </xf>
    <xf numFmtId="0" fontId="20" fillId="3" borderId="1" xfId="0" applyFont="1" applyFill="1" applyBorder="1" applyAlignment="1">
      <alignment horizontal="left" vertical="center"/>
    </xf>
    <xf numFmtId="0" fontId="20" fillId="0" borderId="1" xfId="0" applyFont="1" applyBorder="1" applyAlignment="1">
      <alignment horizontal="left" vertical="top" wrapText="1"/>
    </xf>
    <xf numFmtId="0" fontId="36" fillId="3" borderId="1" xfId="0" applyFont="1" applyFill="1" applyBorder="1" applyAlignment="1" applyProtection="1">
      <alignment horizontal="left" vertical="center" wrapText="1"/>
      <protection locked="0"/>
    </xf>
    <xf numFmtId="1" fontId="36" fillId="0" borderId="1" xfId="0" applyNumberFormat="1" applyFont="1" applyBorder="1" applyAlignment="1">
      <alignment horizontal="center" vertical="center"/>
    </xf>
    <xf numFmtId="0" fontId="36" fillId="0" borderId="1" xfId="0" applyFont="1" applyBorder="1" applyAlignment="1">
      <alignment horizontal="center" vertical="center"/>
    </xf>
    <xf numFmtId="0" fontId="90" fillId="0" borderId="18" xfId="0" applyFont="1" applyBorder="1" applyAlignment="1">
      <alignment horizontal="center" vertical="center"/>
    </xf>
    <xf numFmtId="1" fontId="94" fillId="0" borderId="1" xfId="0" applyNumberFormat="1" applyFont="1" applyBorder="1" applyAlignment="1">
      <alignment horizontal="center" vertical="center" wrapText="1"/>
    </xf>
    <xf numFmtId="1" fontId="94" fillId="0" borderId="4" xfId="0" applyNumberFormat="1" applyFont="1" applyBorder="1" applyAlignment="1">
      <alignment horizontal="center" vertical="center" wrapText="1"/>
    </xf>
    <xf numFmtId="165" fontId="106" fillId="0" borderId="1" xfId="0" applyNumberFormat="1" applyFont="1" applyBorder="1" applyAlignment="1">
      <alignment horizontal="center" vertical="center" wrapText="1"/>
    </xf>
    <xf numFmtId="0" fontId="29" fillId="0" borderId="0" xfId="0" applyFont="1" applyAlignment="1">
      <alignment horizontal="center" vertical="center" wrapText="1"/>
    </xf>
    <xf numFmtId="165" fontId="49" fillId="0" borderId="0" xfId="0" applyNumberFormat="1" applyFont="1" applyAlignment="1">
      <alignment horizontal="center" wrapText="1"/>
    </xf>
    <xf numFmtId="1" fontId="92" fillId="0" borderId="0" xfId="0" applyNumberFormat="1" applyFont="1"/>
    <xf numFmtId="165" fontId="113" fillId="0" borderId="1" xfId="0" applyNumberFormat="1" applyFont="1" applyBorder="1" applyAlignment="1">
      <alignment horizontal="center" vertical="center" wrapText="1"/>
    </xf>
    <xf numFmtId="0" fontId="39" fillId="0" borderId="18" xfId="0" applyFont="1" applyBorder="1" applyAlignment="1">
      <alignment horizontal="center" vertical="center" wrapText="1"/>
    </xf>
    <xf numFmtId="3" fontId="19" fillId="3" borderId="1" xfId="0" applyNumberFormat="1" applyFont="1" applyFill="1" applyBorder="1" applyAlignment="1" applyProtection="1">
      <alignment horizontal="center" vertical="center"/>
      <protection hidden="1"/>
    </xf>
    <xf numFmtId="0" fontId="17" fillId="0" borderId="0" xfId="0" applyFont="1" applyAlignment="1">
      <alignment horizontal="left" vertical="center" wrapText="1"/>
    </xf>
    <xf numFmtId="0" fontId="111" fillId="0" borderId="0" xfId="0" applyFont="1" applyAlignment="1">
      <alignment vertical="center" wrapText="1"/>
    </xf>
    <xf numFmtId="0" fontId="32" fillId="0" borderId="0" xfId="0" applyFont="1" applyAlignment="1">
      <alignment vertical="center" wrapText="1"/>
    </xf>
    <xf numFmtId="0" fontId="124" fillId="0" borderId="0" xfId="0" applyFont="1"/>
    <xf numFmtId="0" fontId="122" fillId="0" borderId="0" xfId="0" applyFont="1"/>
    <xf numFmtId="0" fontId="123" fillId="0" borderId="0" xfId="0" applyFont="1" applyAlignment="1">
      <alignment horizontal="left" vertical="center" wrapText="1"/>
    </xf>
    <xf numFmtId="3" fontId="21" fillId="0" borderId="0" xfId="0" applyNumberFormat="1" applyFont="1" applyAlignment="1">
      <alignment horizontal="center" vertical="center" wrapText="1"/>
    </xf>
    <xf numFmtId="3" fontId="21" fillId="0" borderId="0" xfId="0" applyNumberFormat="1" applyFont="1" applyAlignment="1">
      <alignment horizontal="center" vertical="center"/>
    </xf>
    <xf numFmtId="0" fontId="123" fillId="0" borderId="0" xfId="0" applyFont="1" applyAlignment="1">
      <alignment vertical="center" wrapText="1"/>
    </xf>
    <xf numFmtId="0" fontId="126" fillId="0" borderId="0" xfId="0" applyFont="1"/>
    <xf numFmtId="1" fontId="113" fillId="0" borderId="1" xfId="0" applyNumberFormat="1" applyFont="1" applyBorder="1" applyAlignment="1">
      <alignment horizontal="center" vertical="center"/>
    </xf>
    <xf numFmtId="0" fontId="113" fillId="0" borderId="1" xfId="0" applyFont="1" applyBorder="1"/>
    <xf numFmtId="0" fontId="54" fillId="0" borderId="1" xfId="0" applyFont="1" applyBorder="1" applyAlignment="1">
      <alignment vertical="center" wrapText="1"/>
    </xf>
    <xf numFmtId="3" fontId="113" fillId="0" borderId="1" xfId="0" applyNumberFormat="1" applyFont="1" applyBorder="1" applyAlignment="1">
      <alignment horizontal="center" vertical="center" wrapText="1"/>
    </xf>
    <xf numFmtId="0" fontId="128" fillId="0" borderId="0" xfId="0" applyFont="1"/>
    <xf numFmtId="0" fontId="113" fillId="2" borderId="1" xfId="0" applyFont="1" applyFill="1" applyBorder="1" applyAlignment="1">
      <alignment vertical="center" wrapText="1"/>
    </xf>
    <xf numFmtId="0" fontId="113" fillId="2" borderId="1" xfId="0" applyFont="1" applyFill="1" applyBorder="1" applyAlignment="1">
      <alignment horizontal="center" vertical="center" wrapText="1"/>
    </xf>
    <xf numFmtId="0" fontId="113" fillId="3" borderId="1" xfId="0" applyFont="1" applyFill="1" applyBorder="1" applyAlignment="1">
      <alignment horizontal="center" vertical="center"/>
    </xf>
    <xf numFmtId="0" fontId="113" fillId="0" borderId="0" xfId="0" applyFont="1" applyAlignment="1">
      <alignment horizontal="center" vertical="center"/>
    </xf>
    <xf numFmtId="3" fontId="37" fillId="0" borderId="1" xfId="0" applyNumberFormat="1" applyFont="1" applyBorder="1" applyAlignment="1">
      <alignment horizontal="center" vertical="center"/>
    </xf>
    <xf numFmtId="0" fontId="129" fillId="4" borderId="0" xfId="0" applyFont="1" applyFill="1" applyAlignment="1">
      <alignment vertical="center"/>
    </xf>
    <xf numFmtId="0" fontId="128" fillId="4" borderId="0" xfId="0" applyFont="1" applyFill="1"/>
    <xf numFmtId="0" fontId="130" fillId="0" borderId="1" xfId="0" applyFont="1" applyBorder="1" applyAlignment="1">
      <alignment horizontal="center" vertical="center" wrapText="1"/>
    </xf>
    <xf numFmtId="9" fontId="38" fillId="0" borderId="0" xfId="0" applyNumberFormat="1" applyFont="1" applyAlignment="1">
      <alignment horizontal="center" vertical="center"/>
    </xf>
    <xf numFmtId="0" fontId="131" fillId="0" borderId="0" xfId="0" applyFont="1"/>
    <xf numFmtId="3" fontId="37" fillId="3" borderId="1" xfId="0" applyNumberFormat="1" applyFont="1" applyFill="1" applyBorder="1" applyAlignment="1">
      <alignment horizontal="center" vertical="center" wrapText="1"/>
    </xf>
    <xf numFmtId="3" fontId="36" fillId="3" borderId="1" xfId="0" applyNumberFormat="1" applyFont="1" applyFill="1" applyBorder="1" applyAlignment="1">
      <alignment horizontal="center" vertical="center" wrapText="1"/>
    </xf>
    <xf numFmtId="165" fontId="36" fillId="0" borderId="1" xfId="0" applyNumberFormat="1" applyFont="1" applyBorder="1" applyAlignment="1">
      <alignment horizontal="center" vertical="center" wrapText="1"/>
    </xf>
    <xf numFmtId="165" fontId="36" fillId="0" borderId="1" xfId="0" applyNumberFormat="1" applyFont="1" applyBorder="1" applyAlignment="1">
      <alignment horizontal="center" vertical="center"/>
    </xf>
    <xf numFmtId="3" fontId="36" fillId="0" borderId="18" xfId="0" applyNumberFormat="1" applyFont="1" applyBorder="1"/>
    <xf numFmtId="0" fontId="36" fillId="0" borderId="1" xfId="0" applyFont="1" applyBorder="1" applyAlignment="1">
      <alignment horizontal="left"/>
    </xf>
    <xf numFmtId="0" fontId="113" fillId="0" borderId="18" xfId="0" applyFont="1" applyBorder="1" applyAlignment="1">
      <alignment horizontal="center" vertical="center" wrapText="1"/>
    </xf>
    <xf numFmtId="0" fontId="115" fillId="0" borderId="1" xfId="0" applyFont="1" applyBorder="1" applyAlignment="1">
      <alignment horizontal="center" vertical="center" wrapText="1"/>
    </xf>
    <xf numFmtId="0" fontId="36" fillId="0" borderId="18" xfId="0" applyFont="1" applyBorder="1" applyAlignment="1">
      <alignment vertical="center"/>
    </xf>
    <xf numFmtId="0" fontId="54" fillId="3" borderId="1" xfId="0" applyFont="1" applyFill="1" applyBorder="1" applyAlignment="1">
      <alignment vertical="center" wrapText="1"/>
    </xf>
    <xf numFmtId="0" fontId="113" fillId="0" borderId="18" xfId="0" applyFont="1" applyBorder="1" applyAlignment="1">
      <alignment vertical="center" wrapText="1"/>
    </xf>
    <xf numFmtId="0" fontId="54" fillId="0" borderId="18" xfId="0" applyFont="1" applyBorder="1" applyAlignment="1">
      <alignment vertical="center" wrapText="1"/>
    </xf>
    <xf numFmtId="3" fontId="113" fillId="0" borderId="1" xfId="0" applyNumberFormat="1" applyFont="1" applyBorder="1" applyAlignment="1">
      <alignment horizontal="center" vertical="center"/>
    </xf>
    <xf numFmtId="1" fontId="113" fillId="0" borderId="1" xfId="0" applyNumberFormat="1" applyFont="1" applyBorder="1" applyAlignment="1">
      <alignment horizontal="center" vertical="center" wrapText="1"/>
    </xf>
    <xf numFmtId="1" fontId="54" fillId="0" borderId="1" xfId="0" applyNumberFormat="1" applyFont="1" applyBorder="1" applyAlignment="1">
      <alignment horizontal="center" vertical="center"/>
    </xf>
    <xf numFmtId="165" fontId="113" fillId="0" borderId="1" xfId="0" applyNumberFormat="1" applyFont="1" applyBorder="1" applyAlignment="1">
      <alignment horizontal="center" vertical="center"/>
    </xf>
    <xf numFmtId="1" fontId="113" fillId="0" borderId="1" xfId="0" applyNumberFormat="1" applyFont="1" applyBorder="1"/>
    <xf numFmtId="0" fontId="107" fillId="4" borderId="0" xfId="0" applyFont="1" applyFill="1" applyAlignment="1">
      <alignment vertical="center"/>
    </xf>
    <xf numFmtId="0" fontId="94" fillId="0" borderId="0" xfId="0" applyFont="1" applyAlignment="1">
      <alignment horizontal="center" vertical="center" wrapText="1"/>
    </xf>
    <xf numFmtId="0" fontId="113" fillId="0" borderId="1" xfId="0" applyFont="1" applyBorder="1" applyAlignment="1">
      <alignment horizontal="center" wrapText="1"/>
    </xf>
    <xf numFmtId="0" fontId="119" fillId="0" borderId="1" xfId="0" applyFont="1" applyBorder="1" applyAlignment="1">
      <alignment horizontal="center" wrapText="1"/>
    </xf>
    <xf numFmtId="171" fontId="23" fillId="0" borderId="18" xfId="0" applyNumberFormat="1" applyFont="1" applyBorder="1" applyAlignment="1">
      <alignment horizontal="center" vertical="center" wrapText="1"/>
    </xf>
    <xf numFmtId="166" fontId="113" fillId="0" borderId="18" xfId="0" applyNumberFormat="1" applyFont="1" applyBorder="1" applyAlignment="1">
      <alignment horizontal="center" vertical="center" wrapText="1"/>
    </xf>
    <xf numFmtId="166" fontId="23" fillId="0" borderId="18" xfId="0" applyNumberFormat="1" applyFont="1" applyBorder="1" applyAlignment="1">
      <alignment horizontal="center" vertical="center" wrapText="1"/>
    </xf>
    <xf numFmtId="165" fontId="54" fillId="0" borderId="1" xfId="0" applyNumberFormat="1" applyFont="1" applyBorder="1" applyAlignment="1">
      <alignment horizontal="center" vertical="center" wrapText="1"/>
    </xf>
    <xf numFmtId="0" fontId="109" fillId="0" borderId="1" xfId="0" applyFont="1" applyBorder="1" applyAlignment="1">
      <alignment vertical="center"/>
    </xf>
    <xf numFmtId="0" fontId="109" fillId="0" borderId="1" xfId="0" applyFont="1" applyBorder="1" applyAlignment="1">
      <alignment horizontal="center" vertical="center"/>
    </xf>
    <xf numFmtId="3" fontId="53" fillId="0" borderId="1" xfId="0" applyNumberFormat="1" applyFont="1" applyBorder="1" applyAlignment="1">
      <alignment horizontal="center" vertical="center" wrapText="1"/>
    </xf>
    <xf numFmtId="0" fontId="109" fillId="0" borderId="1" xfId="0" applyFont="1" applyBorder="1" applyAlignment="1">
      <alignment vertical="center" wrapText="1"/>
    </xf>
    <xf numFmtId="0" fontId="109" fillId="0" borderId="1" xfId="0" applyFont="1" applyBorder="1" applyAlignment="1">
      <alignment horizontal="center" vertical="center" wrapText="1"/>
    </xf>
    <xf numFmtId="0" fontId="36" fillId="0" borderId="24" xfId="13" applyFont="1" applyBorder="1" applyAlignment="1">
      <alignment horizontal="center" vertical="center" wrapText="1"/>
    </xf>
    <xf numFmtId="0" fontId="36" fillId="0" borderId="1" xfId="13" applyFont="1" applyBorder="1" applyAlignment="1">
      <alignment horizontal="center" vertical="center" wrapText="1"/>
    </xf>
    <xf numFmtId="0" fontId="36" fillId="0" borderId="23" xfId="13" applyFont="1" applyBorder="1" applyAlignment="1">
      <alignment vertical="center" wrapText="1"/>
    </xf>
    <xf numFmtId="0" fontId="36" fillId="0" borderId="23" xfId="13" applyFont="1" applyBorder="1" applyAlignment="1">
      <alignment horizontal="center" vertical="center" wrapText="1"/>
    </xf>
    <xf numFmtId="0" fontId="38" fillId="0" borderId="23" xfId="13" applyFont="1" applyBorder="1" applyAlignment="1">
      <alignment horizontal="center" vertical="center" wrapText="1"/>
    </xf>
    <xf numFmtId="0" fontId="38" fillId="0" borderId="23" xfId="13" applyFont="1" applyBorder="1"/>
    <xf numFmtId="0" fontId="47" fillId="0" borderId="28" xfId="0" applyFont="1" applyBorder="1" applyAlignment="1">
      <alignment horizontal="left" vertical="center" wrapText="1"/>
    </xf>
    <xf numFmtId="165" fontId="37" fillId="0" borderId="1" xfId="0" applyNumberFormat="1" applyFont="1" applyBorder="1" applyAlignment="1">
      <alignment horizontal="center" vertical="center" wrapText="1"/>
    </xf>
    <xf numFmtId="0" fontId="134" fillId="0" borderId="1" xfId="0" applyFont="1" applyBorder="1" applyAlignment="1">
      <alignment vertical="center" wrapText="1"/>
    </xf>
    <xf numFmtId="0" fontId="11" fillId="0" borderId="24" xfId="0" applyFont="1" applyBorder="1" applyAlignment="1">
      <alignment horizontal="center" vertical="center" wrapText="1"/>
    </xf>
    <xf numFmtId="2" fontId="36" fillId="0" borderId="24" xfId="0" applyNumberFormat="1" applyFont="1" applyBorder="1" applyAlignment="1">
      <alignment horizontal="center" vertical="center"/>
    </xf>
    <xf numFmtId="0" fontId="109" fillId="5" borderId="1" xfId="0" applyFont="1" applyFill="1" applyBorder="1" applyAlignment="1">
      <alignment vertical="center" wrapText="1"/>
    </xf>
    <xf numFmtId="0" fontId="132" fillId="0" borderId="24" xfId="0" applyFont="1" applyBorder="1" applyAlignment="1">
      <alignment horizontal="center" vertical="center" wrapText="1"/>
    </xf>
    <xf numFmtId="0" fontId="132" fillId="0" borderId="18" xfId="0" applyFont="1" applyBorder="1" applyAlignment="1">
      <alignment horizontal="center" vertical="center" wrapText="1"/>
    </xf>
    <xf numFmtId="0" fontId="109" fillId="0" borderId="18" xfId="0" applyFont="1" applyBorder="1" applyAlignment="1">
      <alignment vertical="center" wrapText="1"/>
    </xf>
    <xf numFmtId="0" fontId="135" fillId="0" borderId="0" xfId="0" applyFont="1" applyAlignment="1">
      <alignment horizontal="center" vertical="center" wrapText="1"/>
    </xf>
    <xf numFmtId="165" fontId="38" fillId="0" borderId="0" xfId="0" applyNumberFormat="1" applyFont="1" applyAlignment="1">
      <alignment horizontal="center" vertical="center"/>
    </xf>
    <xf numFmtId="170" fontId="37" fillId="0" borderId="24" xfId="0" applyNumberFormat="1" applyFont="1" applyBorder="1" applyAlignment="1">
      <alignment horizontal="center" vertical="center"/>
    </xf>
    <xf numFmtId="170" fontId="36" fillId="0" borderId="1" xfId="0" applyNumberFormat="1" applyFont="1" applyBorder="1" applyAlignment="1">
      <alignment horizontal="center" vertical="center" wrapText="1"/>
    </xf>
    <xf numFmtId="165" fontId="36" fillId="0" borderId="24" xfId="0" applyNumberFormat="1" applyFont="1" applyBorder="1" applyAlignment="1">
      <alignment horizontal="center" vertical="center"/>
    </xf>
    <xf numFmtId="165" fontId="37" fillId="0" borderId="24" xfId="0" applyNumberFormat="1" applyFont="1" applyBorder="1" applyAlignment="1">
      <alignment horizontal="center" vertical="center" wrapText="1"/>
    </xf>
    <xf numFmtId="165" fontId="36" fillId="0" borderId="1" xfId="0" applyNumberFormat="1" applyFont="1" applyBorder="1" applyAlignment="1">
      <alignment horizontal="center" wrapText="1"/>
    </xf>
    <xf numFmtId="165" fontId="36" fillId="0" borderId="29" xfId="0" applyNumberFormat="1" applyFont="1" applyBorder="1" applyAlignment="1">
      <alignment horizontal="center" vertical="center"/>
    </xf>
    <xf numFmtId="0" fontId="133" fillId="0" borderId="1" xfId="0" applyFont="1" applyBorder="1" applyAlignment="1">
      <alignment vertical="center" wrapText="1"/>
    </xf>
    <xf numFmtId="165" fontId="54" fillId="0" borderId="4" xfId="0" applyNumberFormat="1" applyFont="1" applyBorder="1" applyAlignment="1">
      <alignment horizontal="center" vertical="center" wrapText="1"/>
    </xf>
    <xf numFmtId="0" fontId="109" fillId="0" borderId="1" xfId="0" applyFont="1" applyBorder="1" applyAlignment="1">
      <alignment horizontal="justify" vertical="center" wrapText="1"/>
    </xf>
    <xf numFmtId="0" fontId="0" fillId="4" borderId="7" xfId="0" applyFill="1" applyBorder="1"/>
    <xf numFmtId="0" fontId="11" fillId="0" borderId="18" xfId="0" applyFont="1" applyBorder="1" applyAlignment="1">
      <alignment horizontal="center" vertical="center" wrapText="1"/>
    </xf>
    <xf numFmtId="0" fontId="106" fillId="0" borderId="23" xfId="0" applyFont="1" applyBorder="1" applyAlignment="1">
      <alignment vertical="center" wrapText="1"/>
    </xf>
    <xf numFmtId="0" fontId="36" fillId="0" borderId="18" xfId="13" applyFont="1" applyBorder="1" applyAlignment="1">
      <alignment horizontal="center" vertical="center" wrapText="1"/>
    </xf>
    <xf numFmtId="0" fontId="27" fillId="0" borderId="0" xfId="13" applyFont="1"/>
    <xf numFmtId="0" fontId="137" fillId="0" borderId="0" xfId="0" applyFont="1"/>
    <xf numFmtId="0" fontId="21" fillId="0" borderId="1" xfId="0" applyFont="1" applyBorder="1" applyAlignment="1">
      <alignment horizontal="justify" vertical="center" wrapText="1"/>
    </xf>
    <xf numFmtId="166" fontId="21" fillId="0" borderId="1" xfId="0" applyNumberFormat="1" applyFont="1" applyBorder="1" applyAlignment="1">
      <alignment horizontal="center" vertical="center" wrapText="1"/>
    </xf>
    <xf numFmtId="0" fontId="27" fillId="0" borderId="1" xfId="0" applyFont="1" applyBorder="1" applyAlignment="1">
      <alignment horizontal="center" vertical="center" wrapText="1"/>
    </xf>
    <xf numFmtId="0" fontId="27" fillId="0" borderId="18" xfId="0" applyFont="1" applyBorder="1" applyAlignment="1">
      <alignment horizontal="center" vertical="center" wrapText="1"/>
    </xf>
    <xf numFmtId="0" fontId="48" fillId="0" borderId="24" xfId="13" applyFont="1" applyBorder="1" applyAlignment="1">
      <alignment horizontal="center" vertical="center" wrapText="1"/>
    </xf>
    <xf numFmtId="0" fontId="16" fillId="0" borderId="1" xfId="0" applyFont="1" applyBorder="1" applyAlignment="1">
      <alignment horizontal="center" vertical="center"/>
    </xf>
    <xf numFmtId="0" fontId="132" fillId="0" borderId="1" xfId="0" applyFont="1" applyBorder="1" applyAlignment="1">
      <alignment vertical="center" wrapText="1"/>
    </xf>
    <xf numFmtId="0" fontId="132" fillId="0" borderId="18" xfId="0" applyFont="1" applyBorder="1" applyAlignment="1">
      <alignment horizontal="left" vertical="center" wrapText="1"/>
    </xf>
    <xf numFmtId="0" fontId="138" fillId="4" borderId="0" xfId="0" applyFont="1" applyFill="1" applyAlignment="1">
      <alignment vertical="center"/>
    </xf>
    <xf numFmtId="0" fontId="50" fillId="0" borderId="4" xfId="0" applyFont="1" applyBorder="1" applyAlignment="1">
      <alignment horizontal="center" vertical="center" wrapText="1"/>
    </xf>
    <xf numFmtId="0" fontId="24" fillId="0" borderId="29" xfId="0" applyFont="1" applyBorder="1" applyAlignment="1">
      <alignment horizontal="center" vertical="center" wrapText="1"/>
    </xf>
    <xf numFmtId="0" fontId="23" fillId="0" borderId="1" xfId="0" applyFont="1" applyBorder="1" applyAlignment="1">
      <alignment horizontal="center" wrapText="1"/>
    </xf>
    <xf numFmtId="0" fontId="108" fillId="4" borderId="0" xfId="13" applyFont="1" applyFill="1" applyAlignment="1">
      <alignment vertical="center"/>
    </xf>
    <xf numFmtId="0" fontId="20" fillId="4" borderId="0" xfId="13" applyFont="1" applyFill="1"/>
    <xf numFmtId="0" fontId="54" fillId="0" borderId="4" xfId="0" applyFont="1" applyBorder="1" applyAlignment="1">
      <alignment vertical="center" wrapText="1"/>
    </xf>
    <xf numFmtId="0" fontId="54" fillId="0" borderId="1" xfId="0" applyFont="1" applyBorder="1" applyAlignment="1">
      <alignment horizontal="justify" vertical="center" wrapText="1"/>
    </xf>
    <xf numFmtId="0" fontId="113" fillId="0" borderId="1" xfId="0" applyFont="1" applyBorder="1" applyAlignment="1">
      <alignment horizontal="justify" vertical="center" wrapText="1"/>
    </xf>
    <xf numFmtId="165" fontId="19" fillId="0" borderId="1" xfId="0" applyNumberFormat="1" applyFont="1" applyBorder="1" applyAlignment="1">
      <alignment horizontal="center" vertical="center" wrapText="1"/>
    </xf>
    <xf numFmtId="1" fontId="23" fillId="0" borderId="18" xfId="0" applyNumberFormat="1" applyFont="1" applyBorder="1" applyAlignment="1">
      <alignment horizontal="center" vertical="center" wrapText="1"/>
    </xf>
    <xf numFmtId="0" fontId="21" fillId="5" borderId="1" xfId="0" applyFont="1" applyFill="1" applyBorder="1" applyAlignment="1">
      <alignment horizontal="center" vertical="center"/>
    </xf>
    <xf numFmtId="0" fontId="139" fillId="0" borderId="23" xfId="0" applyFont="1" applyBorder="1" applyAlignment="1">
      <alignment vertical="center" wrapText="1"/>
    </xf>
    <xf numFmtId="3" fontId="36" fillId="0" borderId="1" xfId="0" applyNumberFormat="1" applyFont="1" applyBorder="1" applyAlignment="1" applyProtection="1">
      <alignment horizontal="center" vertical="center"/>
      <protection hidden="1"/>
    </xf>
    <xf numFmtId="0" fontId="48" fillId="0" borderId="1" xfId="0" applyFont="1" applyBorder="1" applyAlignment="1">
      <alignment vertical="center"/>
    </xf>
    <xf numFmtId="3" fontId="54" fillId="3" borderId="1" xfId="0" applyNumberFormat="1" applyFont="1" applyFill="1" applyBorder="1" applyAlignment="1" applyProtection="1">
      <alignment horizontal="center" vertical="center"/>
      <protection hidden="1"/>
    </xf>
    <xf numFmtId="3" fontId="113" fillId="3" borderId="1" xfId="0" applyNumberFormat="1" applyFont="1" applyFill="1" applyBorder="1" applyAlignment="1" applyProtection="1">
      <alignment horizontal="center" vertical="center"/>
      <protection hidden="1"/>
    </xf>
    <xf numFmtId="0" fontId="37" fillId="0" borderId="28" xfId="0" applyFont="1" applyBorder="1" applyAlignment="1">
      <alignment horizontal="left" vertical="center" wrapText="1"/>
    </xf>
    <xf numFmtId="0" fontId="20" fillId="0" borderId="23" xfId="0" applyFont="1" applyBorder="1" applyAlignment="1">
      <alignment horizontal="center" vertical="center"/>
    </xf>
    <xf numFmtId="0" fontId="99" fillId="5" borderId="1" xfId="0" applyFont="1" applyFill="1" applyBorder="1" applyAlignment="1">
      <alignment vertical="center"/>
    </xf>
    <xf numFmtId="0" fontId="21" fillId="5" borderId="1" xfId="0" applyFont="1" applyFill="1" applyBorder="1" applyAlignment="1">
      <alignment vertical="center"/>
    </xf>
    <xf numFmtId="0" fontId="118" fillId="32" borderId="2" xfId="0" applyFont="1" applyFill="1" applyBorder="1" applyAlignment="1">
      <alignment vertical="center"/>
    </xf>
    <xf numFmtId="0" fontId="118" fillId="32" borderId="27" xfId="0" applyFont="1" applyFill="1" applyBorder="1" applyAlignment="1">
      <alignment horizontal="center" vertical="center" wrapText="1"/>
    </xf>
    <xf numFmtId="0" fontId="118" fillId="32" borderId="1" xfId="0" applyFont="1" applyFill="1" applyBorder="1" applyAlignment="1">
      <alignment vertical="center" wrapText="1"/>
    </xf>
    <xf numFmtId="0" fontId="113" fillId="4" borderId="1" xfId="0" applyFont="1" applyFill="1" applyBorder="1" applyAlignment="1">
      <alignment horizontal="center" vertical="center"/>
    </xf>
    <xf numFmtId="0" fontId="118" fillId="32" borderId="2" xfId="0" applyFont="1" applyFill="1" applyBorder="1" applyAlignment="1">
      <alignment horizontal="center" vertical="center"/>
    </xf>
    <xf numFmtId="0" fontId="23" fillId="4" borderId="3" xfId="0" applyFont="1" applyFill="1" applyBorder="1" applyAlignment="1">
      <alignment vertical="center"/>
    </xf>
    <xf numFmtId="0" fontId="118" fillId="32" borderId="1" xfId="0" applyFont="1" applyFill="1" applyBorder="1" applyAlignment="1">
      <alignment horizontal="center" vertical="center" wrapText="1"/>
    </xf>
    <xf numFmtId="0" fontId="118" fillId="32" borderId="2" xfId="0" applyFont="1" applyFill="1" applyBorder="1" applyAlignment="1">
      <alignment vertical="center" wrapText="1"/>
    </xf>
    <xf numFmtId="0" fontId="113" fillId="4" borderId="1" xfId="0" applyFont="1" applyFill="1" applyBorder="1"/>
    <xf numFmtId="0" fontId="54" fillId="32" borderId="27" xfId="0" applyFont="1" applyFill="1" applyBorder="1" applyAlignment="1">
      <alignment horizontal="center" vertical="center" wrapText="1"/>
    </xf>
    <xf numFmtId="9" fontId="113" fillId="4" borderId="3" xfId="0" applyNumberFormat="1" applyFont="1" applyFill="1" applyBorder="1" applyAlignment="1">
      <alignment horizontal="center" vertical="center"/>
    </xf>
    <xf numFmtId="0" fontId="36" fillId="0" borderId="0" xfId="0" applyFont="1" applyAlignment="1">
      <alignment horizontal="center" vertical="center" wrapText="1"/>
    </xf>
    <xf numFmtId="0" fontId="16" fillId="0" borderId="18" xfId="0" applyFont="1" applyBorder="1" applyAlignment="1">
      <alignment horizontal="center" vertical="center"/>
    </xf>
    <xf numFmtId="0" fontId="43" fillId="0" borderId="18" xfId="0" applyFont="1" applyBorder="1" applyAlignment="1">
      <alignment horizontal="center" vertical="center"/>
    </xf>
    <xf numFmtId="0" fontId="43" fillId="0" borderId="1" xfId="0" applyFont="1" applyBorder="1" applyAlignment="1">
      <alignment horizontal="center" vertical="center" wrapText="1"/>
    </xf>
    <xf numFmtId="0" fontId="43" fillId="0" borderId="1" xfId="0" applyFont="1" applyBorder="1" applyAlignment="1">
      <alignment horizontal="center" vertical="center"/>
    </xf>
    <xf numFmtId="0" fontId="42" fillId="0" borderId="1" xfId="0" applyFont="1" applyBorder="1" applyAlignment="1">
      <alignment horizontal="center" vertical="center" wrapText="1"/>
    </xf>
    <xf numFmtId="0" fontId="43" fillId="0" borderId="18" xfId="0" applyFont="1" applyBorder="1" applyAlignment="1">
      <alignment horizontal="center" vertical="center" wrapText="1"/>
    </xf>
    <xf numFmtId="0" fontId="117" fillId="0" borderId="1" xfId="0" applyFont="1" applyBorder="1" applyAlignment="1">
      <alignment horizontal="center" vertical="center" wrapText="1"/>
    </xf>
    <xf numFmtId="0" fontId="27" fillId="0" borderId="24" xfId="0" applyFont="1" applyBorder="1" applyAlignment="1">
      <alignment horizontal="center" vertical="center"/>
    </xf>
    <xf numFmtId="0" fontId="27" fillId="0" borderId="18" xfId="0" applyFont="1" applyBorder="1" applyAlignment="1">
      <alignment horizontal="center" vertical="center"/>
    </xf>
    <xf numFmtId="0" fontId="51" fillId="0" borderId="25" xfId="0" applyFont="1" applyBorder="1" applyAlignment="1">
      <alignment horizontal="center" vertical="center" wrapText="1"/>
    </xf>
    <xf numFmtId="0" fontId="51" fillId="0" borderId="24" xfId="0" applyFont="1" applyBorder="1" applyAlignment="1">
      <alignment horizontal="center" vertical="center" wrapText="1"/>
    </xf>
    <xf numFmtId="0" fontId="113" fillId="0" borderId="18" xfId="0" applyFont="1" applyBorder="1" applyAlignment="1">
      <alignment horizontal="center" vertical="center"/>
    </xf>
    <xf numFmtId="0" fontId="93" fillId="5" borderId="24" xfId="0" applyFont="1" applyFill="1" applyBorder="1" applyAlignment="1">
      <alignment vertical="center" wrapText="1"/>
    </xf>
    <xf numFmtId="0" fontId="93" fillId="0" borderId="24" xfId="0" applyFont="1" applyBorder="1" applyAlignment="1">
      <alignment vertical="center" wrapText="1"/>
    </xf>
    <xf numFmtId="0" fontId="89" fillId="5" borderId="0" xfId="0" applyFont="1" applyFill="1" applyAlignment="1">
      <alignment vertical="center" wrapText="1"/>
    </xf>
    <xf numFmtId="0" fontId="110" fillId="0" borderId="0" xfId="0" applyFont="1" applyAlignment="1">
      <alignment vertical="center" wrapText="1"/>
    </xf>
    <xf numFmtId="0" fontId="33" fillId="0" borderId="0" xfId="0" applyFont="1" applyAlignment="1">
      <alignment vertical="center" wrapText="1"/>
    </xf>
    <xf numFmtId="0" fontId="91" fillId="0" borderId="0" xfId="0" applyFont="1" applyAlignment="1">
      <alignment vertical="center" wrapText="1"/>
    </xf>
    <xf numFmtId="0" fontId="113" fillId="0" borderId="0" xfId="0" applyFont="1"/>
    <xf numFmtId="0" fontId="93" fillId="0" borderId="18" xfId="0" applyFont="1" applyBorder="1" applyAlignment="1">
      <alignment horizontal="center" vertical="center" wrapText="1"/>
    </xf>
    <xf numFmtId="0" fontId="90" fillId="0" borderId="24" xfId="0" applyFont="1" applyBorder="1" applyAlignment="1">
      <alignment vertical="center" wrapText="1"/>
    </xf>
    <xf numFmtId="0" fontId="106" fillId="0" borderId="18" xfId="0" applyFont="1" applyBorder="1" applyAlignment="1">
      <alignment horizontal="center" vertical="center"/>
    </xf>
    <xf numFmtId="0" fontId="89" fillId="0" borderId="24" xfId="0" applyFont="1" applyBorder="1" applyAlignment="1">
      <alignment vertical="center" wrapText="1"/>
    </xf>
    <xf numFmtId="0" fontId="97" fillId="0" borderId="0" xfId="13" applyFont="1"/>
    <xf numFmtId="0" fontId="38" fillId="0" borderId="0" xfId="13" applyFont="1"/>
    <xf numFmtId="0" fontId="142" fillId="0" borderId="0" xfId="13" applyFont="1" applyAlignment="1">
      <alignment horizontal="center" vertical="center" wrapText="1"/>
    </xf>
    <xf numFmtId="0" fontId="143" fillId="0" borderId="0" xfId="0" applyFont="1" applyAlignment="1">
      <alignment horizontal="center" vertical="center"/>
    </xf>
    <xf numFmtId="0" fontId="142" fillId="0" borderId="0" xfId="13" applyFont="1" applyAlignment="1">
      <alignment horizontal="center" vertical="center"/>
    </xf>
    <xf numFmtId="0" fontId="8" fillId="0" borderId="0" xfId="13" applyAlignment="1">
      <alignment horizontal="center" vertical="center"/>
    </xf>
    <xf numFmtId="0" fontId="92" fillId="0" borderId="0" xfId="0" applyFont="1" applyAlignment="1">
      <alignment horizontal="center" vertical="center"/>
    </xf>
    <xf numFmtId="0" fontId="14" fillId="0" borderId="0" xfId="13" applyFont="1" applyAlignment="1">
      <alignment horizontal="center" vertical="center"/>
    </xf>
    <xf numFmtId="0" fontId="93" fillId="5" borderId="18" xfId="0" applyFont="1" applyFill="1" applyBorder="1" applyAlignment="1">
      <alignment vertical="center" wrapText="1"/>
    </xf>
    <xf numFmtId="0" fontId="141" fillId="0" borderId="0" xfId="0" applyFont="1" applyAlignment="1">
      <alignment horizontal="left" vertical="center" wrapText="1"/>
    </xf>
    <xf numFmtId="0" fontId="52" fillId="0" borderId="0" xfId="13" applyFont="1"/>
    <xf numFmtId="0" fontId="141" fillId="4" borderId="0" xfId="0" applyFont="1" applyFill="1" applyAlignment="1">
      <alignment horizontal="left" vertical="center" wrapText="1"/>
    </xf>
    <xf numFmtId="0" fontId="95" fillId="0" borderId="0" xfId="13" applyFont="1"/>
    <xf numFmtId="0" fontId="0" fillId="4" borderId="0" xfId="0" applyFill="1" applyAlignment="1">
      <alignment vertical="center"/>
    </xf>
    <xf numFmtId="0" fontId="36" fillId="0" borderId="0" xfId="0" applyFont="1" applyAlignment="1">
      <alignment vertical="center" wrapText="1"/>
    </xf>
    <xf numFmtId="0" fontId="16" fillId="0" borderId="18" xfId="0" applyFont="1" applyBorder="1" applyAlignment="1">
      <alignment horizontal="center" vertical="center" wrapText="1"/>
    </xf>
    <xf numFmtId="3" fontId="53" fillId="0" borderId="18" xfId="0" applyNumberFormat="1" applyFont="1" applyBorder="1" applyAlignment="1">
      <alignment horizontal="center" vertical="center" wrapText="1"/>
    </xf>
    <xf numFmtId="0" fontId="146" fillId="0" borderId="0" xfId="13" applyFont="1" applyAlignment="1">
      <alignment horizontal="center" vertical="center"/>
    </xf>
    <xf numFmtId="0" fontId="95" fillId="0" borderId="0" xfId="13" applyFont="1" applyAlignment="1">
      <alignment horizontal="left" vertical="center"/>
    </xf>
    <xf numFmtId="0" fontId="147" fillId="0" borderId="0" xfId="0" applyFont="1" applyAlignment="1">
      <alignment horizontal="center" vertical="center" wrapText="1"/>
    </xf>
    <xf numFmtId="0" fontId="147" fillId="0" borderId="0" xfId="0" applyFont="1"/>
    <xf numFmtId="0" fontId="147" fillId="0" borderId="0" xfId="0" applyFont="1" applyAlignment="1">
      <alignment horizontal="center" vertical="center"/>
    </xf>
    <xf numFmtId="0" fontId="142" fillId="0" borderId="0" xfId="0" applyFont="1" applyAlignment="1">
      <alignment horizontal="center" vertical="center"/>
    </xf>
    <xf numFmtId="0" fontId="113" fillId="0" borderId="0" xfId="0" applyFont="1" applyAlignment="1">
      <alignment vertical="center" wrapText="1"/>
    </xf>
    <xf numFmtId="0" fontId="23" fillId="0" borderId="0" xfId="0" applyFont="1" applyAlignment="1">
      <alignment horizontal="left" wrapText="1"/>
    </xf>
    <xf numFmtId="0" fontId="95" fillId="0" borderId="0" xfId="0" applyFont="1" applyAlignment="1">
      <alignment vertical="center" wrapText="1"/>
    </xf>
    <xf numFmtId="0" fontId="142" fillId="0" borderId="0" xfId="0" applyFont="1"/>
    <xf numFmtId="0" fontId="148" fillId="0" borderId="0" xfId="0" applyFont="1" applyAlignment="1">
      <alignment horizontal="center" vertical="center"/>
    </xf>
    <xf numFmtId="0" fontId="148" fillId="0" borderId="0" xfId="0" applyFont="1" applyAlignment="1">
      <alignment horizontal="center" vertical="center" wrapText="1"/>
    </xf>
    <xf numFmtId="1" fontId="113" fillId="0" borderId="0" xfId="0" applyNumberFormat="1" applyFont="1" applyAlignment="1">
      <alignment horizontal="center" vertical="center" wrapText="1"/>
    </xf>
    <xf numFmtId="165" fontId="142" fillId="0" borderId="0" xfId="0" applyNumberFormat="1" applyFont="1" applyAlignment="1">
      <alignment horizontal="center" vertical="center" wrapText="1"/>
    </xf>
    <xf numFmtId="165" fontId="143" fillId="0" borderId="0" xfId="0" applyNumberFormat="1" applyFont="1" applyAlignment="1">
      <alignment horizontal="center" vertical="center" wrapText="1"/>
    </xf>
    <xf numFmtId="0" fontId="149" fillId="0" borderId="0" xfId="0" applyFont="1" applyAlignment="1">
      <alignment horizontal="center" vertical="center" wrapText="1"/>
    </xf>
    <xf numFmtId="1" fontId="48" fillId="0" borderId="0" xfId="0" applyNumberFormat="1" applyFont="1" applyAlignment="1">
      <alignment horizontal="center" vertical="center" wrapText="1"/>
    </xf>
    <xf numFmtId="0" fontId="18" fillId="4" borderId="0" xfId="0" applyFont="1" applyFill="1" applyAlignment="1">
      <alignment vertical="center" wrapText="1"/>
    </xf>
    <xf numFmtId="0" fontId="150" fillId="0" borderId="0" xfId="0" applyFont="1" applyAlignment="1">
      <alignment horizontal="center" vertical="center" wrapText="1"/>
    </xf>
    <xf numFmtId="0" fontId="142" fillId="0" borderId="0" xfId="10" applyFont="1" applyAlignment="1">
      <alignment horizontal="center" vertical="center" wrapText="1"/>
    </xf>
    <xf numFmtId="0" fontId="117" fillId="0" borderId="18" xfId="0" applyFont="1" applyBorder="1" applyAlignment="1">
      <alignment horizontal="center" vertical="center" wrapText="1"/>
    </xf>
    <xf numFmtId="0" fontId="50" fillId="0" borderId="18" xfId="0" applyFont="1" applyBorder="1" applyAlignment="1">
      <alignment horizontal="center" vertical="center"/>
    </xf>
    <xf numFmtId="0" fontId="142" fillId="0" borderId="0" xfId="0" applyFont="1" applyAlignment="1">
      <alignment horizontal="center"/>
    </xf>
    <xf numFmtId="0" fontId="142" fillId="0" borderId="0" xfId="0" applyFont="1" applyAlignment="1">
      <alignment horizontal="center" vertical="center" wrapText="1"/>
    </xf>
    <xf numFmtId="0" fontId="113" fillId="4" borderId="18" xfId="0" applyFont="1" applyFill="1" applyBorder="1" applyAlignment="1">
      <alignment horizontal="center" vertical="center"/>
    </xf>
    <xf numFmtId="0" fontId="113" fillId="4" borderId="18" xfId="0" applyFont="1" applyFill="1" applyBorder="1"/>
    <xf numFmtId="0" fontId="147" fillId="0" borderId="0" xfId="13" applyFont="1" applyAlignment="1">
      <alignment horizontal="center" vertical="center"/>
    </xf>
    <xf numFmtId="0" fontId="95" fillId="0" borderId="0" xfId="0" applyFont="1" applyAlignment="1">
      <alignment vertical="center"/>
    </xf>
    <xf numFmtId="0" fontId="33" fillId="4" borderId="0" xfId="0" applyFont="1" applyFill="1" applyAlignment="1">
      <alignment horizontal="left" vertical="center"/>
    </xf>
    <xf numFmtId="0" fontId="113" fillId="0" borderId="0" xfId="0" applyFont="1" applyAlignment="1">
      <alignment horizontal="center" vertical="center" wrapText="1"/>
    </xf>
    <xf numFmtId="0" fontId="52" fillId="0" borderId="0" xfId="0" applyFont="1"/>
    <xf numFmtId="9" fontId="147" fillId="0" borderId="0" xfId="0" applyNumberFormat="1" applyFont="1"/>
    <xf numFmtId="0" fontId="150" fillId="0" borderId="0" xfId="0" applyFont="1"/>
    <xf numFmtId="0" fontId="146" fillId="0" borderId="0" xfId="0" applyFont="1"/>
    <xf numFmtId="1" fontId="142" fillId="0" borderId="0" xfId="0" applyNumberFormat="1" applyFont="1" applyAlignment="1">
      <alignment horizontal="center" vertical="center" wrapText="1"/>
    </xf>
    <xf numFmtId="0" fontId="144" fillId="0" borderId="0" xfId="0" applyFont="1" applyAlignment="1">
      <alignment horizontal="center" vertical="center" wrapText="1"/>
    </xf>
    <xf numFmtId="0" fontId="147" fillId="0" borderId="18" xfId="0" applyFont="1" applyBorder="1"/>
    <xf numFmtId="1" fontId="142" fillId="0" borderId="0" xfId="0" applyNumberFormat="1" applyFont="1" applyAlignment="1">
      <alignment horizontal="center" vertical="center"/>
    </xf>
    <xf numFmtId="1" fontId="142" fillId="0" borderId="0" xfId="0" applyNumberFormat="1" applyFont="1"/>
    <xf numFmtId="0" fontId="118" fillId="4" borderId="1" xfId="0" applyFont="1" applyFill="1" applyBorder="1" applyAlignment="1">
      <alignment vertical="center" wrapText="1"/>
    </xf>
    <xf numFmtId="0" fontId="118" fillId="4" borderId="18" xfId="0" applyFont="1" applyFill="1" applyBorder="1" applyAlignment="1">
      <alignment vertical="center" wrapText="1"/>
    </xf>
    <xf numFmtId="0" fontId="36" fillId="0" borderId="1" xfId="0" applyFont="1" applyBorder="1" applyAlignment="1">
      <alignment vertical="center" wrapText="1"/>
    </xf>
    <xf numFmtId="0" fontId="140" fillId="0" borderId="0" xfId="13" applyFont="1" applyAlignment="1">
      <alignment horizontal="justify" vertical="center" wrapText="1"/>
    </xf>
    <xf numFmtId="0" fontId="23" fillId="0" borderId="24" xfId="0" applyFont="1" applyBorder="1" applyAlignment="1">
      <alignment vertical="center" wrapText="1"/>
    </xf>
    <xf numFmtId="0" fontId="18" fillId="0" borderId="0" xfId="13" applyFont="1" applyAlignment="1">
      <alignment horizontal="center" vertical="center" wrapText="1"/>
    </xf>
    <xf numFmtId="0" fontId="153" fillId="0" borderId="0" xfId="13" applyFont="1" applyAlignment="1">
      <alignment horizontal="center" vertical="center" wrapText="1"/>
    </xf>
    <xf numFmtId="0" fontId="27" fillId="0" borderId="0" xfId="13" applyFont="1" applyAlignment="1">
      <alignment horizontal="center" vertical="center" wrapText="1"/>
    </xf>
    <xf numFmtId="0" fontId="145" fillId="0" borderId="0" xfId="0" applyFont="1" applyAlignment="1">
      <alignment horizontal="left" vertical="center" wrapText="1"/>
    </xf>
    <xf numFmtId="0" fontId="19" fillId="0" borderId="0" xfId="108" applyFont="1" applyAlignment="1">
      <alignment vertical="center" wrapText="1"/>
    </xf>
    <xf numFmtId="0" fontId="48" fillId="0" borderId="0" xfId="13" applyFont="1" applyAlignment="1">
      <alignment horizontal="center" vertical="center" wrapText="1"/>
    </xf>
    <xf numFmtId="0" fontId="48" fillId="4" borderId="0" xfId="13" applyFont="1" applyFill="1" applyAlignment="1">
      <alignment horizontal="center" vertical="center" wrapText="1"/>
    </xf>
    <xf numFmtId="0" fontId="20" fillId="0" borderId="1" xfId="13" applyFont="1" applyBorder="1" applyAlignment="1">
      <alignment vertical="center" wrapText="1"/>
    </xf>
    <xf numFmtId="0" fontId="33" fillId="0" borderId="0" xfId="13" applyFont="1" applyAlignment="1">
      <alignment vertical="center"/>
    </xf>
    <xf numFmtId="0" fontId="155" fillId="0" borderId="0" xfId="0" applyFont="1" applyAlignment="1">
      <alignment horizontal="left" vertical="center" wrapText="1"/>
    </xf>
    <xf numFmtId="0" fontId="32" fillId="0" borderId="0" xfId="13" applyFont="1"/>
    <xf numFmtId="0" fontId="34" fillId="0" borderId="0" xfId="7" applyFill="1"/>
    <xf numFmtId="3" fontId="36" fillId="2" borderId="1" xfId="0" applyNumberFormat="1" applyFont="1" applyFill="1" applyBorder="1" applyAlignment="1">
      <alignment horizontal="left" wrapText="1"/>
    </xf>
    <xf numFmtId="3" fontId="113" fillId="0" borderId="1" xfId="0" applyNumberFormat="1" applyFont="1" applyBorder="1" applyAlignment="1">
      <alignment horizontal="left" vertical="center" wrapText="1"/>
    </xf>
    <xf numFmtId="3" fontId="35" fillId="0" borderId="1" xfId="0" applyNumberFormat="1" applyFont="1" applyBorder="1" applyAlignment="1">
      <alignment horizontal="center" vertical="center" wrapText="1"/>
    </xf>
    <xf numFmtId="3" fontId="94" fillId="0" borderId="1" xfId="0" applyNumberFormat="1" applyFont="1" applyBorder="1" applyAlignment="1">
      <alignment horizontal="center" vertical="center" wrapText="1"/>
    </xf>
    <xf numFmtId="0" fontId="36" fillId="0" borderId="1" xfId="0" applyFont="1" applyBorder="1" applyAlignment="1">
      <alignment horizontal="left" vertical="center" wrapText="1"/>
    </xf>
    <xf numFmtId="0" fontId="21" fillId="0" borderId="1" xfId="0" applyFont="1" applyBorder="1" applyAlignment="1">
      <alignment horizontal="left"/>
    </xf>
    <xf numFmtId="0" fontId="21" fillId="0" borderId="4" xfId="0" applyFont="1" applyBorder="1" applyAlignment="1">
      <alignment horizontal="left"/>
    </xf>
    <xf numFmtId="0" fontId="125" fillId="0" borderId="0" xfId="7" applyFont="1" applyFill="1"/>
    <xf numFmtId="1" fontId="35" fillId="0" borderId="18" xfId="0" applyNumberFormat="1" applyFont="1" applyBorder="1" applyAlignment="1">
      <alignment horizontal="center" vertical="center" wrapText="1"/>
    </xf>
    <xf numFmtId="0" fontId="7" fillId="0" borderId="0" xfId="0" applyFont="1" applyAlignment="1">
      <alignment vertical="center"/>
    </xf>
    <xf numFmtId="0" fontId="161" fillId="0" borderId="0" xfId="13" applyFont="1"/>
    <xf numFmtId="0" fontId="20" fillId="0" borderId="24" xfId="13" applyFont="1" applyBorder="1" applyAlignment="1">
      <alignment vertical="center" wrapText="1"/>
    </xf>
    <xf numFmtId="0" fontId="0" fillId="0" borderId="0" xfId="0" applyAlignment="1">
      <alignment horizontal="left" vertical="center"/>
    </xf>
    <xf numFmtId="165" fontId="164" fillId="0" borderId="0" xfId="0" applyNumberFormat="1" applyFont="1" applyAlignment="1">
      <alignment horizontal="center" vertical="center" wrapText="1"/>
    </xf>
    <xf numFmtId="0" fontId="165" fillId="0" borderId="0" xfId="0" applyFont="1" applyAlignment="1">
      <alignment vertical="center"/>
    </xf>
    <xf numFmtId="0" fontId="92" fillId="0" borderId="0" xfId="10" applyFont="1" applyAlignment="1">
      <alignment horizontal="center" vertical="center" wrapText="1"/>
    </xf>
    <xf numFmtId="0" fontId="166" fillId="0" borderId="0" xfId="0" applyFont="1"/>
    <xf numFmtId="0" fontId="160" fillId="0" borderId="0" xfId="0" applyFont="1" applyAlignment="1">
      <alignment vertical="center"/>
    </xf>
    <xf numFmtId="0" fontId="159" fillId="0" borderId="0" xfId="0" applyFont="1" applyAlignment="1">
      <alignment vertical="center"/>
    </xf>
    <xf numFmtId="0" fontId="20" fillId="0" borderId="2" xfId="13" applyFont="1" applyBorder="1" applyAlignment="1">
      <alignment vertical="center" wrapText="1"/>
    </xf>
    <xf numFmtId="0" fontId="167" fillId="0" borderId="0" xfId="0" applyFont="1"/>
    <xf numFmtId="2" fontId="167" fillId="0" borderId="0" xfId="0" applyNumberFormat="1" applyFont="1"/>
    <xf numFmtId="0" fontId="167" fillId="0" borderId="0" xfId="0" applyFont="1" applyAlignment="1">
      <alignment horizontal="left"/>
    </xf>
    <xf numFmtId="0" fontId="46" fillId="0" borderId="0" xfId="13" applyFont="1" applyAlignment="1">
      <alignment horizontal="justify" vertical="center" wrapText="1"/>
    </xf>
    <xf numFmtId="0" fontId="19" fillId="0" borderId="0" xfId="13" applyFont="1" applyAlignment="1">
      <alignment horizontal="left" vertical="center"/>
    </xf>
    <xf numFmtId="3" fontId="23" fillId="0" borderId="18" xfId="0" applyNumberFormat="1" applyFont="1" applyBorder="1" applyAlignment="1">
      <alignment horizontal="left" vertical="center" wrapText="1"/>
    </xf>
    <xf numFmtId="165" fontId="20" fillId="0" borderId="0" xfId="0" applyNumberFormat="1" applyFont="1" applyAlignment="1">
      <alignment vertical="center" wrapText="1"/>
    </xf>
    <xf numFmtId="165" fontId="106" fillId="0" borderId="4" xfId="0" applyNumberFormat="1" applyFont="1" applyBorder="1" applyAlignment="1">
      <alignment horizontal="center" vertical="center" wrapText="1"/>
    </xf>
    <xf numFmtId="1" fontId="19" fillId="0" borderId="1" xfId="0" applyNumberFormat="1" applyFont="1" applyBorder="1" applyAlignment="1">
      <alignment horizontal="center" vertical="center"/>
    </xf>
    <xf numFmtId="1" fontId="23" fillId="0" borderId="0" xfId="0" applyNumberFormat="1" applyFont="1" applyAlignment="1">
      <alignment horizontal="center" vertical="center"/>
    </xf>
    <xf numFmtId="0" fontId="93" fillId="5" borderId="1" xfId="0" applyFont="1" applyFill="1" applyBorder="1" applyAlignment="1">
      <alignment vertical="center" wrapText="1"/>
    </xf>
    <xf numFmtId="0" fontId="19" fillId="0" borderId="18" xfId="0" applyFont="1" applyBorder="1" applyAlignment="1">
      <alignment vertical="center" wrapText="1"/>
    </xf>
    <xf numFmtId="0" fontId="45" fillId="0" borderId="0" xfId="13" applyFont="1" applyAlignment="1">
      <alignment horizontal="justify" vertical="center" wrapText="1"/>
    </xf>
    <xf numFmtId="1" fontId="89" fillId="0" borderId="1" xfId="0" applyNumberFormat="1" applyFont="1" applyBorder="1" applyAlignment="1">
      <alignment horizontal="center" vertical="center" wrapText="1"/>
    </xf>
    <xf numFmtId="1" fontId="35" fillId="0" borderId="1" xfId="0" applyNumberFormat="1" applyFont="1" applyBorder="1" applyAlignment="1">
      <alignment horizontal="center" vertical="center" wrapText="1"/>
    </xf>
    <xf numFmtId="1" fontId="90" fillId="0" borderId="1" xfId="0" applyNumberFormat="1" applyFont="1" applyBorder="1" applyAlignment="1">
      <alignment horizontal="center" vertical="center" wrapText="1"/>
    </xf>
    <xf numFmtId="1" fontId="93" fillId="0" borderId="18" xfId="0" applyNumberFormat="1" applyFont="1" applyBorder="1" applyAlignment="1">
      <alignment horizontal="center" vertical="center" wrapText="1"/>
    </xf>
    <xf numFmtId="166" fontId="89" fillId="0" borderId="1" xfId="0" applyNumberFormat="1" applyFont="1" applyBorder="1" applyAlignment="1">
      <alignment horizontal="center" vertical="center"/>
    </xf>
    <xf numFmtId="166" fontId="89" fillId="0" borderId="1" xfId="0" applyNumberFormat="1" applyFont="1" applyBorder="1" applyAlignment="1">
      <alignment horizontal="center" vertical="center" wrapText="1"/>
    </xf>
    <xf numFmtId="1" fontId="90" fillId="0" borderId="18" xfId="0" applyNumberFormat="1" applyFont="1" applyBorder="1" applyAlignment="1">
      <alignment horizontal="center" vertical="center" wrapText="1"/>
    </xf>
    <xf numFmtId="0" fontId="93" fillId="0" borderId="1" xfId="0" applyFont="1" applyBorder="1" applyAlignment="1">
      <alignment horizontal="center" vertical="center"/>
    </xf>
    <xf numFmtId="1" fontId="93" fillId="0" borderId="1" xfId="0" applyNumberFormat="1" applyFont="1" applyBorder="1" applyAlignment="1">
      <alignment horizontal="center" vertical="center"/>
    </xf>
    <xf numFmtId="3" fontId="23" fillId="0" borderId="0" xfId="0" applyNumberFormat="1" applyFont="1"/>
    <xf numFmtId="1" fontId="53" fillId="0" borderId="1" xfId="0" applyNumberFormat="1" applyFont="1" applyBorder="1" applyAlignment="1">
      <alignment horizontal="center" vertical="center" wrapText="1"/>
    </xf>
    <xf numFmtId="1" fontId="53" fillId="0" borderId="18" xfId="0" applyNumberFormat="1" applyFont="1" applyBorder="1" applyAlignment="1">
      <alignment horizontal="center" vertical="center" wrapText="1"/>
    </xf>
    <xf numFmtId="0" fontId="90" fillId="0" borderId="18" xfId="0" applyFont="1" applyBorder="1" applyAlignment="1">
      <alignment horizontal="left" vertical="center" wrapText="1"/>
    </xf>
    <xf numFmtId="0" fontId="168" fillId="0" borderId="0" xfId="0" applyFont="1" applyAlignment="1">
      <alignment vertical="center"/>
    </xf>
    <xf numFmtId="0" fontId="47" fillId="0" borderId="18" xfId="0" applyFont="1" applyBorder="1" applyAlignment="1">
      <alignment vertical="center" wrapText="1"/>
    </xf>
    <xf numFmtId="1" fontId="20" fillId="0" borderId="1" xfId="0" applyNumberFormat="1" applyFont="1" applyBorder="1" applyAlignment="1">
      <alignment horizontal="center" vertical="center" wrapText="1"/>
    </xf>
    <xf numFmtId="1" fontId="113" fillId="0" borderId="4" xfId="0" applyNumberFormat="1" applyFont="1" applyBorder="1" applyAlignment="1">
      <alignment horizontal="center" vertical="center" wrapText="1"/>
    </xf>
    <xf numFmtId="1" fontId="36" fillId="0" borderId="24" xfId="0" applyNumberFormat="1" applyFont="1" applyBorder="1" applyAlignment="1">
      <alignment horizontal="center" vertical="center"/>
    </xf>
    <xf numFmtId="170" fontId="35" fillId="0" borderId="0" xfId="0" applyNumberFormat="1" applyFont="1" applyAlignment="1">
      <alignment horizontal="center" vertical="center" wrapText="1"/>
    </xf>
    <xf numFmtId="0" fontId="169" fillId="0" borderId="0" xfId="0" applyFont="1" applyAlignment="1">
      <alignment horizontal="left" vertical="center"/>
    </xf>
    <xf numFmtId="0" fontId="126" fillId="0" borderId="0" xfId="0" applyFont="1" applyAlignment="1">
      <alignment vertical="center"/>
    </xf>
    <xf numFmtId="0" fontId="170" fillId="0" borderId="0" xfId="0" applyFont="1" applyAlignment="1">
      <alignment vertical="center"/>
    </xf>
    <xf numFmtId="3" fontId="20" fillId="0" borderId="18" xfId="0" applyNumberFormat="1" applyFont="1" applyBorder="1"/>
    <xf numFmtId="3" fontId="45" fillId="0" borderId="18" xfId="0" applyNumberFormat="1" applyFont="1" applyBorder="1" applyAlignment="1">
      <alignment horizontal="center" vertical="center"/>
    </xf>
    <xf numFmtId="0" fontId="151" fillId="0" borderId="0" xfId="0" applyFont="1" applyAlignment="1">
      <alignment horizontal="left" vertical="center"/>
    </xf>
    <xf numFmtId="1" fontId="92" fillId="0" borderId="0" xfId="0" applyNumberFormat="1" applyFont="1" applyAlignment="1">
      <alignment horizontal="left" vertical="center"/>
    </xf>
    <xf numFmtId="0" fontId="35" fillId="0" borderId="0" xfId="0" applyFont="1" applyAlignment="1">
      <alignment vertical="center" wrapText="1"/>
    </xf>
    <xf numFmtId="0" fontId="95" fillId="0" borderId="0" xfId="0" applyFont="1" applyAlignment="1">
      <alignment horizontal="center" vertical="center"/>
    </xf>
    <xf numFmtId="0" fontId="45" fillId="0" borderId="0" xfId="0" applyFont="1" applyAlignment="1">
      <alignment horizontal="justify" vertical="center"/>
    </xf>
    <xf numFmtId="0" fontId="162" fillId="0" borderId="18" xfId="0" applyFont="1" applyBorder="1"/>
    <xf numFmtId="0" fontId="172" fillId="0" borderId="24" xfId="0" applyFont="1" applyBorder="1" applyAlignment="1">
      <alignment horizontal="center" vertical="center" wrapText="1"/>
    </xf>
    <xf numFmtId="2" fontId="35" fillId="0" borderId="18" xfId="0" applyNumberFormat="1" applyFont="1" applyBorder="1" applyAlignment="1">
      <alignment horizontal="center" vertical="center" wrapText="1"/>
    </xf>
    <xf numFmtId="2" fontId="20" fillId="0" borderId="0" xfId="0" applyNumberFormat="1" applyFont="1"/>
    <xf numFmtId="0" fontId="174" fillId="0" borderId="0" xfId="0" applyFont="1" applyAlignment="1">
      <alignment horizontal="center" vertical="center"/>
    </xf>
    <xf numFmtId="1" fontId="113" fillId="0" borderId="0" xfId="0" applyNumberFormat="1" applyFont="1" applyAlignment="1">
      <alignment horizontal="center" vertical="center"/>
    </xf>
    <xf numFmtId="0" fontId="174" fillId="0" borderId="0" xfId="0" applyFont="1" applyAlignment="1">
      <alignment horizontal="center" vertical="center" wrapText="1"/>
    </xf>
    <xf numFmtId="0" fontId="36" fillId="0" borderId="0" xfId="0" applyFont="1" applyAlignment="1">
      <alignment horizontal="left" vertical="center"/>
    </xf>
    <xf numFmtId="0" fontId="120" fillId="0" borderId="0" xfId="0" applyFont="1" applyAlignment="1">
      <alignment horizontal="center" vertical="center" wrapText="1"/>
    </xf>
    <xf numFmtId="0" fontId="120" fillId="0" borderId="0" xfId="0" applyFont="1"/>
    <xf numFmtId="165" fontId="113" fillId="0" borderId="0" xfId="0" applyNumberFormat="1" applyFont="1"/>
    <xf numFmtId="3" fontId="120" fillId="0" borderId="0" xfId="0" applyNumberFormat="1" applyFont="1"/>
    <xf numFmtId="0" fontId="36" fillId="0" borderId="0" xfId="0" applyFont="1" applyAlignment="1">
      <alignment horizontal="center" vertical="center"/>
    </xf>
    <xf numFmtId="0" fontId="150" fillId="0" borderId="0" xfId="0" applyFont="1" applyAlignment="1">
      <alignment horizontal="center" vertical="center"/>
    </xf>
    <xf numFmtId="0" fontId="13" fillId="0" borderId="0" xfId="13" applyFont="1" applyAlignment="1">
      <alignment vertical="center"/>
    </xf>
    <xf numFmtId="0" fontId="136" fillId="0" borderId="0" xfId="13" applyFont="1" applyAlignment="1">
      <alignment vertical="center"/>
    </xf>
    <xf numFmtId="0" fontId="20" fillId="0" borderId="18" xfId="13" applyFont="1" applyBorder="1" applyAlignment="1">
      <alignment horizontal="left" vertical="center" wrapText="1"/>
    </xf>
    <xf numFmtId="0" fontId="109" fillId="0" borderId="1" xfId="0" applyFont="1" applyBorder="1" applyAlignment="1">
      <alignment horizontal="left" vertical="center" wrapText="1"/>
    </xf>
    <xf numFmtId="0" fontId="93" fillId="0" borderId="18" xfId="0" applyFont="1" applyBorder="1" applyAlignment="1">
      <alignment horizontal="left" vertical="center" wrapText="1"/>
    </xf>
    <xf numFmtId="0" fontId="175" fillId="0" borderId="1" xfId="0" applyFont="1" applyBorder="1" applyAlignment="1">
      <alignment vertical="center" wrapText="1"/>
    </xf>
    <xf numFmtId="3" fontId="147" fillId="0" borderId="0" xfId="0" applyNumberFormat="1" applyFont="1"/>
    <xf numFmtId="0" fontId="147" fillId="0" borderId="0" xfId="0" applyFont="1" applyAlignment="1">
      <alignment vertical="center"/>
    </xf>
    <xf numFmtId="0" fontId="142" fillId="0" borderId="0" xfId="0" applyFont="1" applyAlignment="1">
      <alignment vertical="center"/>
    </xf>
    <xf numFmtId="167" fontId="97" fillId="0" borderId="0" xfId="0" applyNumberFormat="1" applyFont="1" applyAlignment="1">
      <alignment vertical="center" wrapText="1"/>
    </xf>
    <xf numFmtId="165" fontId="173" fillId="0" borderId="0" xfId="0" applyNumberFormat="1" applyFont="1" applyAlignment="1">
      <alignment horizontal="center" vertical="center" wrapText="1"/>
    </xf>
    <xf numFmtId="165" fontId="146" fillId="0" borderId="0" xfId="0" applyNumberFormat="1" applyFont="1" applyAlignment="1">
      <alignment horizontal="center" vertical="center" wrapText="1"/>
    </xf>
    <xf numFmtId="3" fontId="113" fillId="0" borderId="0" xfId="0" applyNumberFormat="1" applyFont="1"/>
    <xf numFmtId="0" fontId="151" fillId="0" borderId="0" xfId="0" applyFont="1"/>
    <xf numFmtId="0" fontId="23" fillId="4" borderId="18" xfId="0" applyFont="1" applyFill="1" applyBorder="1" applyAlignment="1">
      <alignment vertical="center"/>
    </xf>
    <xf numFmtId="165" fontId="149" fillId="0" borderId="0" xfId="0" applyNumberFormat="1" applyFont="1" applyAlignment="1">
      <alignment horizontal="center" vertical="center" wrapText="1"/>
    </xf>
    <xf numFmtId="165" fontId="97" fillId="0" borderId="0" xfId="0" applyNumberFormat="1" applyFont="1"/>
    <xf numFmtId="0" fontId="163" fillId="0" borderId="0" xfId="0" applyFont="1" applyAlignment="1">
      <alignment horizontal="center" vertical="center" wrapText="1"/>
    </xf>
    <xf numFmtId="165" fontId="20" fillId="0" borderId="0" xfId="0" applyNumberFormat="1" applyFont="1" applyAlignment="1">
      <alignment horizontal="center" vertical="center" wrapText="1"/>
    </xf>
    <xf numFmtId="0" fontId="20" fillId="0" borderId="0" xfId="0" applyFont="1" applyAlignment="1">
      <alignment horizontal="left" vertical="center"/>
    </xf>
    <xf numFmtId="0" fontId="6" fillId="0" borderId="25" xfId="0" applyFont="1" applyBorder="1" applyAlignment="1">
      <alignment horizontal="center" vertical="center" wrapText="1"/>
    </xf>
    <xf numFmtId="0" fontId="6" fillId="0" borderId="18" xfId="0" applyFont="1" applyBorder="1"/>
    <xf numFmtId="0" fontId="35" fillId="5" borderId="0" xfId="0" applyFont="1" applyFill="1" applyAlignment="1">
      <alignment vertical="center" wrapText="1"/>
    </xf>
    <xf numFmtId="165" fontId="147" fillId="0" borderId="0" xfId="0" applyNumberFormat="1" applyFont="1" applyAlignment="1">
      <alignment horizontal="center" vertical="center" wrapText="1"/>
    </xf>
    <xf numFmtId="0" fontId="140" fillId="0" borderId="0" xfId="13" applyFont="1" applyAlignment="1">
      <alignment vertical="center"/>
    </xf>
    <xf numFmtId="0" fontId="36" fillId="0" borderId="23" xfId="0" applyFont="1" applyBorder="1" applyAlignment="1">
      <alignment vertical="center" wrapText="1"/>
    </xf>
    <xf numFmtId="0" fontId="11" fillId="0" borderId="0" xfId="0" applyFont="1" applyAlignment="1">
      <alignment horizontal="center" vertical="center"/>
    </xf>
    <xf numFmtId="0" fontId="50" fillId="0" borderId="0" xfId="0" applyFont="1" applyAlignment="1">
      <alignment horizontal="center" vertical="center"/>
    </xf>
    <xf numFmtId="0" fontId="142" fillId="0" borderId="18" xfId="0" applyFont="1" applyBorder="1"/>
    <xf numFmtId="0" fontId="106" fillId="4" borderId="0" xfId="0" applyFont="1" applyFill="1" applyAlignment="1">
      <alignment horizontal="center" vertical="center"/>
    </xf>
    <xf numFmtId="0" fontId="23" fillId="4" borderId="0" xfId="0" applyFont="1" applyFill="1" applyAlignment="1">
      <alignment horizontal="center" vertical="center" wrapText="1"/>
    </xf>
    <xf numFmtId="0" fontId="20" fillId="0" borderId="4" xfId="0" applyFont="1" applyBorder="1" applyAlignment="1">
      <alignment horizontal="center" vertical="center"/>
    </xf>
    <xf numFmtId="0" fontId="23" fillId="0" borderId="4" xfId="0" applyFont="1" applyBorder="1" applyAlignment="1">
      <alignment horizontal="center" vertical="center"/>
    </xf>
    <xf numFmtId="0" fontId="113" fillId="0" borderId="4" xfId="0" applyFont="1" applyBorder="1" applyAlignment="1">
      <alignment horizontal="center" vertical="center"/>
    </xf>
    <xf numFmtId="0" fontId="113" fillId="0" borderId="23" xfId="0" applyFont="1" applyBorder="1" applyAlignment="1">
      <alignment horizontal="center" vertical="center" wrapText="1"/>
    </xf>
    <xf numFmtId="0" fontId="113" fillId="0" borderId="23" xfId="0" applyFont="1" applyBorder="1" applyAlignment="1">
      <alignment horizontal="center" vertical="center"/>
    </xf>
    <xf numFmtId="0" fontId="118" fillId="32" borderId="18" xfId="0" applyFont="1" applyFill="1" applyBorder="1" applyAlignment="1">
      <alignment vertical="center"/>
    </xf>
    <xf numFmtId="0" fontId="118" fillId="32" borderId="18" xfId="0" applyFont="1" applyFill="1" applyBorder="1" applyAlignment="1">
      <alignment horizontal="center" vertical="center" wrapText="1"/>
    </xf>
    <xf numFmtId="0" fontId="46" fillId="0" borderId="0" xfId="13" applyFont="1"/>
    <xf numFmtId="0" fontId="14" fillId="0" borderId="0" xfId="0" applyFont="1" applyAlignment="1">
      <alignment vertical="center"/>
    </xf>
    <xf numFmtId="0" fontId="95" fillId="0" borderId="0" xfId="0" applyFont="1" applyAlignment="1">
      <alignment horizontal="left" vertical="center"/>
    </xf>
    <xf numFmtId="0" fontId="23" fillId="0" borderId="1" xfId="0" applyFont="1" applyBorder="1" applyAlignment="1">
      <alignment vertical="center"/>
    </xf>
    <xf numFmtId="1" fontId="97" fillId="0" borderId="0" xfId="0" applyNumberFormat="1" applyFont="1"/>
    <xf numFmtId="0" fontId="45" fillId="0" borderId="0" xfId="0" applyFont="1" applyAlignment="1">
      <alignment horizontal="left" vertical="center" wrapText="1"/>
    </xf>
    <xf numFmtId="0" fontId="41" fillId="0" borderId="0" xfId="135" applyFont="1" applyAlignment="1">
      <alignment vertical="center" wrapText="1"/>
    </xf>
    <xf numFmtId="0" fontId="145" fillId="0" borderId="0" xfId="13" applyFont="1" applyAlignment="1">
      <alignment horizontal="justify" vertical="center" wrapText="1"/>
    </xf>
    <xf numFmtId="0" fontId="46" fillId="0" borderId="0" xfId="13" applyFont="1" applyAlignment="1">
      <alignment vertical="center"/>
    </xf>
    <xf numFmtId="0" fontId="92" fillId="0" borderId="0" xfId="0" applyFont="1" applyAlignment="1">
      <alignment vertical="center"/>
    </xf>
    <xf numFmtId="0" fontId="37" fillId="0" borderId="0" xfId="0" applyFont="1" applyAlignment="1">
      <alignment horizontal="left" vertical="center"/>
    </xf>
    <xf numFmtId="2" fontId="23" fillId="0" borderId="0" xfId="0" applyNumberFormat="1" applyFont="1" applyAlignment="1">
      <alignment horizontal="center" vertical="center"/>
    </xf>
    <xf numFmtId="168" fontId="23" fillId="0" borderId="0" xfId="0" applyNumberFormat="1" applyFont="1"/>
    <xf numFmtId="1" fontId="23" fillId="0" borderId="0" xfId="0" applyNumberFormat="1" applyFont="1"/>
    <xf numFmtId="0" fontId="97" fillId="0" borderId="0" xfId="0" applyFont="1" applyAlignment="1">
      <alignment vertical="center" wrapText="1"/>
    </xf>
    <xf numFmtId="0" fontId="5" fillId="0" borderId="0" xfId="13" applyFont="1" applyAlignment="1">
      <alignment horizontal="center" vertical="center"/>
    </xf>
    <xf numFmtId="1" fontId="20" fillId="0" borderId="0" xfId="0" applyNumberFormat="1" applyFont="1"/>
    <xf numFmtId="0" fontId="20" fillId="3" borderId="2" xfId="0" applyFont="1" applyFill="1" applyBorder="1" applyAlignment="1">
      <alignment vertical="center"/>
    </xf>
    <xf numFmtId="0" fontId="23" fillId="3" borderId="2" xfId="0" applyFont="1" applyFill="1" applyBorder="1" applyAlignment="1">
      <alignment vertical="center"/>
    </xf>
    <xf numFmtId="0" fontId="106" fillId="3" borderId="1" xfId="0" applyFont="1" applyFill="1" applyBorder="1" applyAlignment="1">
      <alignment vertical="center"/>
    </xf>
    <xf numFmtId="0" fontId="19" fillId="3" borderId="1" xfId="0" applyFont="1" applyFill="1" applyBorder="1" applyAlignment="1">
      <alignment vertical="center"/>
    </xf>
    <xf numFmtId="0" fontId="23" fillId="3" borderId="1" xfId="0" applyFont="1" applyFill="1" applyBorder="1" applyAlignment="1">
      <alignment vertical="center"/>
    </xf>
    <xf numFmtId="3" fontId="93" fillId="0" borderId="1" xfId="0" applyNumberFormat="1" applyFont="1" applyBorder="1" applyAlignment="1">
      <alignment horizontal="center" vertical="center"/>
    </xf>
    <xf numFmtId="3" fontId="113" fillId="0" borderId="23" xfId="0" applyNumberFormat="1" applyFont="1" applyBorder="1" applyAlignment="1">
      <alignment horizontal="center" vertical="center" wrapText="1"/>
    </xf>
    <xf numFmtId="3" fontId="113" fillId="0" borderId="0" xfId="0" applyNumberFormat="1" applyFont="1" applyAlignment="1">
      <alignment horizontal="center" vertical="center" wrapText="1"/>
    </xf>
    <xf numFmtId="0" fontId="116" fillId="0" borderId="0" xfId="0" applyFont="1"/>
    <xf numFmtId="10" fontId="23" fillId="0" borderId="0" xfId="0" applyNumberFormat="1" applyFont="1" applyAlignment="1">
      <alignment horizontal="center" vertical="center"/>
    </xf>
    <xf numFmtId="165" fontId="0" fillId="0" borderId="0" xfId="0" applyNumberFormat="1"/>
    <xf numFmtId="0" fontId="45" fillId="0" borderId="0" xfId="13" applyFont="1" applyAlignment="1">
      <alignment vertical="center"/>
    </xf>
    <xf numFmtId="0" fontId="133" fillId="0" borderId="1" xfId="0" applyFont="1" applyBorder="1" applyAlignment="1">
      <alignment horizontal="left" vertical="center" wrapText="1"/>
    </xf>
    <xf numFmtId="0" fontId="19" fillId="0" borderId="1" xfId="13" applyFont="1" applyBorder="1" applyAlignment="1">
      <alignment horizontal="center" vertical="center" wrapText="1"/>
    </xf>
    <xf numFmtId="0" fontId="19" fillId="0" borderId="25" xfId="13" applyFont="1" applyBorder="1" applyAlignment="1">
      <alignment horizontal="center" vertical="center" wrapText="1"/>
    </xf>
    <xf numFmtId="0" fontId="179" fillId="0" borderId="1" xfId="13" applyFont="1" applyBorder="1" applyAlignment="1">
      <alignment horizontal="center" vertical="center" wrapText="1"/>
    </xf>
    <xf numFmtId="0" fontId="179" fillId="0" borderId="1" xfId="0" applyFont="1" applyBorder="1" applyAlignment="1">
      <alignment horizontal="center" vertical="center" wrapText="1"/>
    </xf>
    <xf numFmtId="0" fontId="19" fillId="0" borderId="24" xfId="13" applyFont="1" applyBorder="1" applyAlignment="1">
      <alignment horizontal="left" vertical="center" wrapText="1"/>
    </xf>
    <xf numFmtId="0" fontId="20" fillId="0" borderId="28" xfId="13" applyFont="1" applyBorder="1" applyAlignment="1">
      <alignment horizontal="center" vertical="center" wrapText="1"/>
    </xf>
    <xf numFmtId="0" fontId="20" fillId="0" borderId="18" xfId="13" applyFont="1" applyBorder="1" applyAlignment="1">
      <alignment horizontal="center" vertical="center" wrapText="1"/>
    </xf>
    <xf numFmtId="0" fontId="19" fillId="0" borderId="28" xfId="13" applyFont="1" applyBorder="1" applyAlignment="1">
      <alignment horizontal="center" vertical="center" wrapText="1"/>
    </xf>
    <xf numFmtId="0" fontId="19" fillId="0" borderId="1" xfId="0" applyFont="1" applyBorder="1" applyAlignment="1">
      <alignment vertical="center" wrapText="1"/>
    </xf>
    <xf numFmtId="0" fontId="100" fillId="0" borderId="1" xfId="13" applyFont="1" applyBorder="1" applyAlignment="1">
      <alignment horizontal="center" vertical="center" wrapText="1"/>
    </xf>
    <xf numFmtId="0" fontId="100" fillId="0" borderId="1" xfId="0" applyFont="1" applyBorder="1" applyAlignment="1">
      <alignment horizontal="center" vertical="center" wrapText="1"/>
    </xf>
    <xf numFmtId="0" fontId="181" fillId="0" borderId="1" xfId="13" applyFont="1" applyBorder="1" applyAlignment="1">
      <alignment horizontal="center" vertical="center"/>
    </xf>
    <xf numFmtId="0" fontId="21" fillId="0" borderId="18" xfId="13" applyFont="1" applyBorder="1" applyAlignment="1">
      <alignment horizontal="center" vertical="center" wrapText="1"/>
    </xf>
    <xf numFmtId="0" fontId="20" fillId="0" borderId="24" xfId="0" applyFont="1" applyBorder="1" applyAlignment="1">
      <alignment vertical="center" wrapText="1"/>
    </xf>
    <xf numFmtId="0" fontId="20" fillId="0" borderId="18" xfId="13" applyFont="1" applyBorder="1"/>
    <xf numFmtId="3" fontId="89" fillId="0" borderId="1" xfId="0" applyNumberFormat="1" applyFont="1" applyBorder="1" applyAlignment="1">
      <alignment horizontal="center" vertical="center" wrapText="1"/>
    </xf>
    <xf numFmtId="0" fontId="11" fillId="0" borderId="27" xfId="0" applyFont="1" applyBorder="1" applyAlignment="1">
      <alignment horizontal="center" vertical="center" wrapText="1"/>
    </xf>
    <xf numFmtId="0" fontId="54" fillId="0" borderId="4" xfId="0" applyFont="1" applyBorder="1" applyAlignment="1">
      <alignment horizontal="center" vertical="center" wrapText="1"/>
    </xf>
    <xf numFmtId="0" fontId="20" fillId="0" borderId="0" xfId="0" applyFont="1" applyAlignment="1">
      <alignment horizontal="left" vertical="center" wrapText="1"/>
    </xf>
    <xf numFmtId="166" fontId="20" fillId="0" borderId="1" xfId="135" applyNumberFormat="1" applyFont="1" applyBorder="1" applyAlignment="1">
      <alignment horizontal="center" vertical="center" wrapText="1"/>
    </xf>
    <xf numFmtId="3" fontId="23" fillId="0" borderId="1" xfId="13" applyNumberFormat="1" applyFont="1" applyBorder="1" applyAlignment="1">
      <alignment horizontal="center" vertical="center"/>
    </xf>
    <xf numFmtId="0" fontId="122" fillId="0" borderId="0" xfId="13" applyFont="1" applyAlignment="1">
      <alignment horizontal="left" vertical="center"/>
    </xf>
    <xf numFmtId="0" fontId="122" fillId="0" borderId="0" xfId="0" applyFont="1" applyAlignment="1">
      <alignment vertical="center"/>
    </xf>
    <xf numFmtId="0" fontId="45" fillId="0" borderId="1" xfId="0" applyFont="1" applyBorder="1" applyAlignment="1">
      <alignment vertical="center" wrapText="1"/>
    </xf>
    <xf numFmtId="3" fontId="23" fillId="0" borderId="1" xfId="0" applyNumberFormat="1" applyFont="1" applyBorder="1" applyAlignment="1">
      <alignment horizontal="left" vertical="center" wrapText="1"/>
    </xf>
    <xf numFmtId="0" fontId="182" fillId="0" borderId="1" xfId="0" applyFont="1" applyBorder="1" applyAlignment="1">
      <alignment vertical="center" wrapText="1"/>
    </xf>
    <xf numFmtId="0" fontId="11" fillId="0" borderId="18" xfId="0" applyFont="1" applyBorder="1" applyAlignment="1">
      <alignment vertical="center" wrapText="1"/>
    </xf>
    <xf numFmtId="0" fontId="4" fillId="0" borderId="1" xfId="0" applyFont="1" applyBorder="1" applyAlignment="1">
      <alignment vertical="center" wrapText="1"/>
    </xf>
    <xf numFmtId="0" fontId="23" fillId="0" borderId="24" xfId="13" applyFont="1" applyBorder="1" applyAlignment="1">
      <alignment horizontal="center" vertical="center" wrapText="1"/>
    </xf>
    <xf numFmtId="0" fontId="23" fillId="0" borderId="18" xfId="108" applyFont="1" applyBorder="1" applyAlignment="1">
      <alignment vertical="center" wrapText="1"/>
    </xf>
    <xf numFmtId="0" fontId="183" fillId="0" borderId="1" xfId="0" applyFont="1" applyBorder="1" applyAlignment="1">
      <alignment horizontal="center" vertical="center" wrapText="1"/>
    </xf>
    <xf numFmtId="0" fontId="23" fillId="0" borderId="18" xfId="0" applyFont="1" applyBorder="1" applyAlignment="1">
      <alignment horizontal="left" vertical="center" wrapText="1"/>
    </xf>
    <xf numFmtId="0" fontId="48" fillId="0" borderId="1" xfId="0" applyFont="1" applyBorder="1" applyAlignment="1">
      <alignment horizontal="left" vertical="center" wrapText="1"/>
    </xf>
    <xf numFmtId="0" fontId="176" fillId="0" borderId="1" xfId="0" applyFont="1" applyBorder="1" applyAlignment="1">
      <alignment horizontal="center" vertical="center" wrapText="1"/>
    </xf>
    <xf numFmtId="0" fontId="48" fillId="0" borderId="23" xfId="0" applyFont="1" applyBorder="1" applyAlignment="1">
      <alignment horizontal="left" vertical="center" wrapText="1"/>
    </xf>
    <xf numFmtId="165" fontId="48" fillId="0" borderId="1" xfId="0" applyNumberFormat="1" applyFont="1" applyBorder="1" applyAlignment="1">
      <alignment horizontal="center" vertical="center"/>
    </xf>
    <xf numFmtId="0" fontId="23" fillId="0" borderId="1" xfId="0" applyFont="1" applyBorder="1" applyAlignment="1">
      <alignment horizontal="left" vertical="center" wrapText="1"/>
    </xf>
    <xf numFmtId="0" fontId="23" fillId="0" borderId="25" xfId="0" applyFont="1" applyBorder="1" applyAlignment="1">
      <alignment horizontal="left" vertical="center" wrapText="1"/>
    </xf>
    <xf numFmtId="0" fontId="176" fillId="0" borderId="25" xfId="0" applyFont="1" applyBorder="1" applyAlignment="1">
      <alignment horizontal="center" vertical="center" wrapText="1"/>
    </xf>
    <xf numFmtId="0" fontId="183" fillId="0" borderId="18" xfId="0" applyFont="1" applyBorder="1" applyAlignment="1">
      <alignment horizontal="center" vertical="center" wrapText="1"/>
    </xf>
    <xf numFmtId="166" fontId="20" fillId="0" borderId="1" xfId="0" applyNumberFormat="1" applyFont="1" applyBorder="1" applyAlignment="1">
      <alignment horizontal="center" vertical="center" wrapText="1"/>
    </xf>
    <xf numFmtId="0" fontId="19" fillId="0" borderId="0" xfId="136" applyFont="1" applyAlignment="1">
      <alignment horizontal="center" vertical="center" wrapText="1"/>
    </xf>
    <xf numFmtId="170" fontId="113" fillId="0" borderId="1" xfId="0" applyNumberFormat="1" applyFont="1" applyBorder="1" applyAlignment="1">
      <alignment horizontal="center" vertical="center"/>
    </xf>
    <xf numFmtId="172" fontId="0" fillId="0" borderId="0" xfId="129" applyNumberFormat="1" applyFont="1"/>
    <xf numFmtId="0" fontId="185" fillId="0" borderId="0" xfId="0" applyFont="1"/>
    <xf numFmtId="1" fontId="95" fillId="0" borderId="0" xfId="0" applyNumberFormat="1" applyFont="1" applyAlignment="1">
      <alignment vertical="center" wrapText="1"/>
    </xf>
    <xf numFmtId="0" fontId="45" fillId="0" borderId="0" xfId="0" applyFont="1" applyAlignment="1" applyProtection="1">
      <alignment horizontal="left" vertical="center" wrapText="1"/>
      <protection locked="0"/>
    </xf>
    <xf numFmtId="0" fontId="0" fillId="0" borderId="0" xfId="0" applyAlignment="1">
      <alignment vertical="center" wrapText="1"/>
    </xf>
    <xf numFmtId="0" fontId="140" fillId="0" borderId="0" xfId="0" applyFont="1" applyAlignment="1">
      <alignment vertical="center" wrapText="1"/>
    </xf>
    <xf numFmtId="0" fontId="90" fillId="0" borderId="1" xfId="0" applyFont="1" applyBorder="1" applyAlignment="1">
      <alignment vertical="center"/>
    </xf>
    <xf numFmtId="166" fontId="20" fillId="0" borderId="1" xfId="13" applyNumberFormat="1" applyFont="1" applyBorder="1" applyAlignment="1">
      <alignment horizontal="center" vertical="center"/>
    </xf>
    <xf numFmtId="0" fontId="99" fillId="0" borderId="1" xfId="108" applyFont="1" applyBorder="1" applyAlignment="1">
      <alignment horizontal="center" vertical="center" wrapText="1"/>
    </xf>
    <xf numFmtId="0" fontId="101" fillId="0" borderId="1" xfId="108" applyFont="1" applyBorder="1" applyAlignment="1">
      <alignment horizontal="center" vertical="center" wrapText="1"/>
    </xf>
    <xf numFmtId="1" fontId="93" fillId="0" borderId="1" xfId="0" applyNumberFormat="1" applyFont="1" applyBorder="1" applyAlignment="1">
      <alignment horizontal="center" vertical="center" wrapText="1"/>
    </xf>
    <xf numFmtId="2" fontId="35" fillId="0" borderId="1" xfId="0" applyNumberFormat="1" applyFont="1" applyBorder="1" applyAlignment="1">
      <alignment horizontal="center" vertical="center" wrapText="1"/>
    </xf>
    <xf numFmtId="0" fontId="27" fillId="3" borderId="1" xfId="0" applyFont="1" applyFill="1" applyBorder="1" applyAlignment="1">
      <alignment horizontal="center" vertical="center"/>
    </xf>
    <xf numFmtId="1" fontId="20" fillId="0" borderId="1" xfId="0" applyNumberFormat="1" applyFont="1" applyBorder="1"/>
    <xf numFmtId="165" fontId="23" fillId="0" borderId="1" xfId="0" applyNumberFormat="1" applyFont="1" applyBorder="1" applyAlignment="1">
      <alignment horizontal="center" vertical="center"/>
    </xf>
    <xf numFmtId="170" fontId="20" fillId="0" borderId="1" xfId="0" applyNumberFormat="1" applyFont="1" applyBorder="1" applyAlignment="1">
      <alignment horizontal="center" vertical="center"/>
    </xf>
    <xf numFmtId="3" fontId="184" fillId="0" borderId="1" xfId="0" applyNumberFormat="1" applyFont="1" applyBorder="1" applyAlignment="1">
      <alignment horizontal="center" vertical="center" wrapText="1"/>
    </xf>
    <xf numFmtId="3" fontId="23" fillId="0" borderId="1" xfId="0" applyNumberFormat="1" applyFont="1" applyBorder="1" applyAlignment="1">
      <alignment horizontal="center" vertical="center" wrapText="1"/>
    </xf>
    <xf numFmtId="0" fontId="124" fillId="4" borderId="0" xfId="0" applyFont="1" applyFill="1" applyAlignment="1">
      <alignment vertical="center" wrapText="1"/>
    </xf>
    <xf numFmtId="2" fontId="36" fillId="0" borderId="1" xfId="0" applyNumberFormat="1" applyFont="1" applyBorder="1" applyAlignment="1">
      <alignment horizontal="center" vertical="center"/>
    </xf>
    <xf numFmtId="0" fontId="132" fillId="0" borderId="1" xfId="0" applyFont="1" applyBorder="1" applyAlignment="1">
      <alignment horizontal="center" vertical="center" wrapText="1"/>
    </xf>
    <xf numFmtId="0" fontId="11" fillId="0" borderId="1" xfId="10" applyFont="1" applyBorder="1" applyAlignment="1">
      <alignment horizontal="center" vertical="center" wrapText="1"/>
    </xf>
    <xf numFmtId="0" fontId="6" fillId="0" borderId="1" xfId="0" applyFont="1" applyBorder="1"/>
    <xf numFmtId="0" fontId="0" fillId="0" borderId="26" xfId="0" applyBorder="1"/>
    <xf numFmtId="0" fontId="13" fillId="0" borderId="24" xfId="0" applyFont="1" applyBorder="1" applyAlignment="1">
      <alignment horizontal="center" vertical="center"/>
    </xf>
    <xf numFmtId="3" fontId="20" fillId="0" borderId="1" xfId="0" applyNumberFormat="1" applyFont="1" applyBorder="1"/>
    <xf numFmtId="0" fontId="130" fillId="0" borderId="1" xfId="0" applyFont="1" applyBorder="1" applyAlignment="1">
      <alignment horizontal="center" vertical="center"/>
    </xf>
    <xf numFmtId="0" fontId="130" fillId="0" borderId="18" xfId="0" applyFont="1" applyBorder="1" applyAlignment="1">
      <alignment horizontal="center" vertical="center"/>
    </xf>
    <xf numFmtId="0" fontId="117" fillId="0" borderId="1" xfId="0" applyFont="1" applyBorder="1" applyAlignment="1">
      <alignment horizontal="center" vertical="center"/>
    </xf>
    <xf numFmtId="0" fontId="117" fillId="0" borderId="18" xfId="0" applyFont="1" applyBorder="1" applyAlignment="1">
      <alignment horizontal="center" vertical="center"/>
    </xf>
    <xf numFmtId="0" fontId="23" fillId="0" borderId="18" xfId="0" applyFont="1" applyBorder="1" applyAlignment="1">
      <alignment vertical="center"/>
    </xf>
    <xf numFmtId="0" fontId="20" fillId="0" borderId="18" xfId="0" applyFont="1" applyBorder="1" applyAlignment="1">
      <alignment vertical="center" wrapText="1"/>
    </xf>
    <xf numFmtId="3" fontId="48" fillId="32" borderId="1" xfId="0" applyNumberFormat="1" applyFont="1" applyFill="1" applyBorder="1" applyAlignment="1">
      <alignment horizontal="center" vertical="center" wrapText="1"/>
    </xf>
    <xf numFmtId="167" fontId="113" fillId="0" borderId="0" xfId="0" applyNumberFormat="1" applyFont="1"/>
    <xf numFmtId="10" fontId="23" fillId="0" borderId="0" xfId="0" applyNumberFormat="1" applyFont="1"/>
    <xf numFmtId="2" fontId="20" fillId="0" borderId="1" xfId="0" applyNumberFormat="1" applyFont="1" applyBorder="1" applyAlignment="1">
      <alignment horizontal="center" vertical="center"/>
    </xf>
    <xf numFmtId="2" fontId="23" fillId="0" borderId="0" xfId="0" applyNumberFormat="1" applyFont="1"/>
    <xf numFmtId="0" fontId="34" fillId="0" borderId="0" xfId="7" applyAlignment="1">
      <alignment vertical="center"/>
    </xf>
    <xf numFmtId="0" fontId="27" fillId="0" borderId="0" xfId="0" applyFont="1"/>
    <xf numFmtId="0" fontId="20" fillId="3" borderId="1" xfId="0" applyFont="1" applyFill="1" applyBorder="1" applyAlignment="1">
      <alignment horizontal="left"/>
    </xf>
    <xf numFmtId="0" fontId="37" fillId="0" borderId="24" xfId="0" applyFont="1" applyBorder="1" applyAlignment="1">
      <alignment horizontal="left" vertical="center" wrapText="1"/>
    </xf>
    <xf numFmtId="166" fontId="20" fillId="0" borderId="0" xfId="0" applyNumberFormat="1" applyFont="1"/>
    <xf numFmtId="0" fontId="45" fillId="0" borderId="24" xfId="0" applyFont="1" applyBorder="1" applyAlignment="1">
      <alignment horizontal="center" vertical="center" wrapText="1"/>
    </xf>
    <xf numFmtId="1" fontId="47" fillId="0" borderId="1" xfId="0" applyNumberFormat="1" applyFont="1" applyBorder="1" applyAlignment="1">
      <alignment horizontal="center" vertical="center"/>
    </xf>
    <xf numFmtId="0" fontId="11" fillId="0" borderId="4" xfId="0" applyFont="1" applyBorder="1" applyAlignment="1">
      <alignment horizontal="center" vertical="center" wrapText="1"/>
    </xf>
    <xf numFmtId="0" fontId="27" fillId="0" borderId="29" xfId="0" applyFont="1" applyBorder="1" applyAlignment="1">
      <alignment horizontal="center" vertical="center"/>
    </xf>
    <xf numFmtId="0" fontId="27" fillId="0" borderId="4" xfId="0" applyFont="1" applyBorder="1" applyAlignment="1">
      <alignment horizontal="center" vertical="center"/>
    </xf>
    <xf numFmtId="0" fontId="20" fillId="4" borderId="7" xfId="0" applyFont="1" applyFill="1" applyBorder="1" applyAlignment="1">
      <alignment horizontal="center" vertical="center"/>
    </xf>
    <xf numFmtId="3" fontId="20" fillId="4" borderId="7" xfId="0" applyNumberFormat="1" applyFont="1" applyFill="1" applyBorder="1" applyAlignment="1">
      <alignment horizontal="center" vertical="center" wrapText="1"/>
    </xf>
    <xf numFmtId="3" fontId="36" fillId="4" borderId="7" xfId="0" applyNumberFormat="1" applyFont="1" applyFill="1" applyBorder="1" applyAlignment="1">
      <alignment horizontal="center" vertical="center" wrapText="1"/>
    </xf>
    <xf numFmtId="0" fontId="20" fillId="4" borderId="4" xfId="0" applyFont="1" applyFill="1" applyBorder="1" applyAlignment="1">
      <alignment horizontal="center" vertical="center"/>
    </xf>
    <xf numFmtId="170" fontId="20" fillId="4" borderId="30" xfId="0" applyNumberFormat="1" applyFont="1" applyFill="1" applyBorder="1" applyAlignment="1">
      <alignment horizontal="center" vertical="center" wrapText="1"/>
    </xf>
    <xf numFmtId="0" fontId="36" fillId="0" borderId="0" xfId="0" applyFont="1" applyAlignment="1">
      <alignment horizontal="left" vertical="center" wrapText="1"/>
    </xf>
    <xf numFmtId="170" fontId="20" fillId="0" borderId="0" xfId="0" applyNumberFormat="1" applyFont="1" applyAlignment="1">
      <alignment horizontal="center" vertical="center" wrapText="1"/>
    </xf>
    <xf numFmtId="170" fontId="36" fillId="0" borderId="0" xfId="0" applyNumberFormat="1" applyFont="1" applyAlignment="1">
      <alignment horizontal="center" vertical="center" wrapText="1"/>
    </xf>
    <xf numFmtId="170" fontId="36" fillId="4" borderId="7" xfId="0" applyNumberFormat="1" applyFont="1" applyFill="1" applyBorder="1" applyAlignment="1">
      <alignment horizontal="center" vertical="center" wrapText="1"/>
    </xf>
    <xf numFmtId="170" fontId="20" fillId="4" borderId="7" xfId="0" applyNumberFormat="1" applyFont="1" applyFill="1" applyBorder="1" applyAlignment="1">
      <alignment horizontal="center" vertical="center" wrapText="1"/>
    </xf>
    <xf numFmtId="0" fontId="21" fillId="0" borderId="0" xfId="0" applyFont="1" applyAlignment="1">
      <alignment horizontal="left"/>
    </xf>
    <xf numFmtId="3" fontId="36" fillId="0" borderId="0" xfId="0" applyNumberFormat="1" applyFont="1" applyAlignment="1">
      <alignment horizontal="center" vertical="center"/>
    </xf>
    <xf numFmtId="3" fontId="20" fillId="4" borderId="29" xfId="0" applyNumberFormat="1" applyFont="1" applyFill="1" applyBorder="1" applyAlignment="1">
      <alignment horizontal="center" vertical="center"/>
    </xf>
    <xf numFmtId="3" fontId="36" fillId="4" borderId="7" xfId="0" applyNumberFormat="1" applyFont="1" applyFill="1" applyBorder="1" applyAlignment="1">
      <alignment horizontal="center" vertical="center"/>
    </xf>
    <xf numFmtId="3" fontId="20" fillId="4" borderId="7" xfId="0" applyNumberFormat="1" applyFont="1" applyFill="1" applyBorder="1" applyAlignment="1">
      <alignment horizontal="center" vertical="center"/>
    </xf>
    <xf numFmtId="0" fontId="41" fillId="0" borderId="0" xfId="0" applyFont="1" applyAlignment="1">
      <alignment horizontal="justify" vertical="center"/>
    </xf>
    <xf numFmtId="3" fontId="48" fillId="0" borderId="1" xfId="0" applyNumberFormat="1" applyFont="1" applyBorder="1" applyAlignment="1">
      <alignment horizontal="left" vertical="center" wrapText="1"/>
    </xf>
    <xf numFmtId="3" fontId="97" fillId="0" borderId="0" xfId="0" applyNumberFormat="1" applyFont="1"/>
    <xf numFmtId="0" fontId="41" fillId="4" borderId="0" xfId="0" applyFont="1" applyFill="1" applyAlignment="1">
      <alignment horizontal="justify" vertical="center"/>
    </xf>
    <xf numFmtId="167" fontId="23" fillId="0" borderId="0" xfId="0" applyNumberFormat="1" applyFont="1" applyAlignment="1">
      <alignment horizontal="center" vertical="center"/>
    </xf>
    <xf numFmtId="1" fontId="106" fillId="0" borderId="1" xfId="0" applyNumberFormat="1" applyFont="1" applyBorder="1" applyAlignment="1">
      <alignment horizontal="center" vertical="center"/>
    </xf>
    <xf numFmtId="0" fontId="118" fillId="32" borderId="1" xfId="0" applyFont="1" applyFill="1" applyBorder="1" applyAlignment="1">
      <alignment vertical="center"/>
    </xf>
    <xf numFmtId="3" fontId="23" fillId="2" borderId="24" xfId="0" applyNumberFormat="1" applyFont="1" applyFill="1" applyBorder="1" applyAlignment="1">
      <alignment horizontal="left" wrapText="1"/>
    </xf>
    <xf numFmtId="0" fontId="23" fillId="0" borderId="0" xfId="0" applyFont="1" applyAlignment="1">
      <alignment wrapText="1"/>
    </xf>
    <xf numFmtId="0" fontId="183" fillId="0" borderId="0" xfId="0" applyFont="1" applyAlignment="1">
      <alignment wrapText="1"/>
    </xf>
    <xf numFmtId="169" fontId="23" fillId="0" borderId="0" xfId="0" applyNumberFormat="1" applyFont="1"/>
    <xf numFmtId="166" fontId="23" fillId="0" borderId="0" xfId="0" applyNumberFormat="1" applyFont="1" applyAlignment="1">
      <alignment horizontal="left"/>
    </xf>
    <xf numFmtId="10" fontId="0" fillId="0" borderId="0" xfId="0" applyNumberFormat="1"/>
    <xf numFmtId="170" fontId="109" fillId="0" borderId="0" xfId="0" applyNumberFormat="1" applyFont="1" applyAlignment="1">
      <alignment vertical="center" wrapText="1"/>
    </xf>
    <xf numFmtId="170" fontId="113" fillId="0" borderId="0" xfId="0" applyNumberFormat="1" applyFont="1" applyAlignment="1">
      <alignment horizontal="center" vertical="center"/>
    </xf>
    <xf numFmtId="3" fontId="186" fillId="0" borderId="0" xfId="0" applyNumberFormat="1" applyFont="1" applyAlignment="1">
      <alignment horizontal="center" vertical="center"/>
    </xf>
    <xf numFmtId="170" fontId="23" fillId="0" borderId="0" xfId="0" applyNumberFormat="1" applyFont="1"/>
    <xf numFmtId="0" fontId="19" fillId="0" borderId="0" xfId="0" applyFont="1"/>
    <xf numFmtId="166" fontId="93" fillId="0" borderId="1" xfId="0" applyNumberFormat="1" applyFont="1" applyBorder="1" applyAlignment="1">
      <alignment horizontal="center" vertical="center"/>
    </xf>
    <xf numFmtId="166" fontId="93" fillId="0" borderId="1" xfId="0" applyNumberFormat="1" applyFont="1" applyBorder="1" applyAlignment="1">
      <alignment horizontal="center" vertical="center" wrapText="1"/>
    </xf>
    <xf numFmtId="2" fontId="93" fillId="0" borderId="1" xfId="0" applyNumberFormat="1" applyFont="1" applyBorder="1" applyAlignment="1">
      <alignment horizontal="center" vertical="center" wrapText="1"/>
    </xf>
    <xf numFmtId="0" fontId="2" fillId="0" borderId="18" xfId="0" applyFont="1" applyBorder="1"/>
    <xf numFmtId="0" fontId="21" fillId="0" borderId="1" xfId="0" applyFont="1" applyBorder="1" applyAlignment="1">
      <alignment horizontal="left" vertical="center" wrapText="1"/>
    </xf>
    <xf numFmtId="3" fontId="106" fillId="0" borderId="1" xfId="0" applyNumberFormat="1" applyFont="1" applyBorder="1" applyAlignment="1">
      <alignment horizontal="center" vertical="center" wrapText="1"/>
    </xf>
    <xf numFmtId="0" fontId="13" fillId="0" borderId="0" xfId="0" applyFont="1" applyAlignment="1">
      <alignment horizontal="center" vertical="center"/>
    </xf>
    <xf numFmtId="0" fontId="187" fillId="0" borderId="0" xfId="0" applyFont="1" applyAlignment="1">
      <alignment horizontal="center" vertical="center"/>
    </xf>
    <xf numFmtId="3" fontId="23" fillId="0" borderId="1" xfId="0" applyNumberFormat="1" applyFont="1" applyBorder="1" applyAlignment="1">
      <alignment horizontal="left" wrapText="1"/>
    </xf>
    <xf numFmtId="165" fontId="23" fillId="0" borderId="0" xfId="0" applyNumberFormat="1" applyFont="1" applyAlignment="1">
      <alignment horizontal="center"/>
    </xf>
    <xf numFmtId="167" fontId="147" fillId="0" borderId="0" xfId="0" applyNumberFormat="1" applyFont="1" applyAlignment="1">
      <alignment horizontal="center" vertical="center"/>
    </xf>
    <xf numFmtId="166" fontId="8" fillId="0" borderId="0" xfId="13" applyNumberFormat="1"/>
    <xf numFmtId="165" fontId="53" fillId="0" borderId="1" xfId="0" applyNumberFormat="1" applyFont="1" applyBorder="1" applyAlignment="1">
      <alignment horizontal="center" vertical="center" wrapText="1"/>
    </xf>
    <xf numFmtId="0" fontId="37" fillId="0" borderId="1" xfId="0" applyFont="1" applyBorder="1" applyAlignment="1">
      <alignment horizontal="left"/>
    </xf>
    <xf numFmtId="166" fontId="48" fillId="0" borderId="1" xfId="0" applyNumberFormat="1" applyFont="1" applyBorder="1" applyAlignment="1">
      <alignment horizontal="center" vertical="center" wrapText="1"/>
    </xf>
    <xf numFmtId="0" fontId="35" fillId="0" borderId="18" xfId="0" applyFont="1" applyBorder="1" applyAlignment="1">
      <alignment vertical="center" wrapText="1"/>
    </xf>
    <xf numFmtId="0" fontId="151" fillId="0" borderId="0" xfId="0" applyFont="1" applyAlignment="1">
      <alignment horizontal="center" vertical="center" wrapText="1"/>
    </xf>
    <xf numFmtId="0" fontId="194" fillId="0" borderId="0" xfId="0" applyFont="1"/>
    <xf numFmtId="166" fontId="36" fillId="0" borderId="1" xfId="0" applyNumberFormat="1" applyFont="1" applyBorder="1" applyAlignment="1">
      <alignment horizontal="center" vertical="center" wrapText="1"/>
    </xf>
    <xf numFmtId="166" fontId="99" fillId="0" borderId="1" xfId="0" applyNumberFormat="1" applyFont="1" applyBorder="1" applyAlignment="1">
      <alignment horizontal="center" vertical="center" wrapText="1"/>
    </xf>
    <xf numFmtId="165" fontId="36" fillId="0" borderId="1" xfId="13" applyNumberFormat="1" applyFont="1" applyBorder="1" applyAlignment="1">
      <alignment horizontal="center" vertical="center" wrapText="1"/>
    </xf>
    <xf numFmtId="166" fontId="20" fillId="3" borderId="1" xfId="0" applyNumberFormat="1" applyFont="1" applyFill="1" applyBorder="1" applyAlignment="1">
      <alignment horizontal="center" vertical="center" wrapText="1"/>
    </xf>
    <xf numFmtId="168" fontId="20" fillId="0" borderId="1" xfId="135" applyNumberFormat="1" applyFont="1" applyBorder="1" applyAlignment="1">
      <alignment horizontal="center" vertical="center" wrapText="1"/>
    </xf>
    <xf numFmtId="166" fontId="36" fillId="0" borderId="1" xfId="13" applyNumberFormat="1" applyFont="1" applyBorder="1" applyAlignment="1">
      <alignment horizontal="center" vertical="center" wrapText="1"/>
    </xf>
    <xf numFmtId="166" fontId="89" fillId="0" borderId="1" xfId="135" applyNumberFormat="1" applyFont="1" applyBorder="1" applyAlignment="1">
      <alignment horizontal="center" vertical="center"/>
    </xf>
    <xf numFmtId="0" fontId="197" fillId="0" borderId="0" xfId="13" applyFont="1" applyAlignment="1">
      <alignment horizontal="center" vertical="center"/>
    </xf>
    <xf numFmtId="0" fontId="197" fillId="0" borderId="0" xfId="13" applyFont="1" applyAlignment="1">
      <alignment horizontal="center" vertical="center" wrapText="1"/>
    </xf>
    <xf numFmtId="166" fontId="90" fillId="0" borderId="1" xfId="135" applyNumberFormat="1" applyFont="1" applyBorder="1" applyAlignment="1">
      <alignment horizontal="center" vertical="center" wrapText="1"/>
    </xf>
    <xf numFmtId="0" fontId="90" fillId="0" borderId="1" xfId="135" applyFont="1" applyBorder="1" applyAlignment="1">
      <alignment horizontal="center" vertical="center" wrapText="1"/>
    </xf>
    <xf numFmtId="168" fontId="90" fillId="0" borderId="1" xfId="135" applyNumberFormat="1" applyFont="1" applyBorder="1" applyAlignment="1">
      <alignment horizontal="center" vertical="center" wrapText="1"/>
    </xf>
    <xf numFmtId="0" fontId="184" fillId="0" borderId="0" xfId="13" applyFont="1" applyAlignment="1">
      <alignment horizontal="center" vertical="center"/>
    </xf>
    <xf numFmtId="0" fontId="198" fillId="0" borderId="0" xfId="13" applyFont="1" applyAlignment="1">
      <alignment horizontal="center" vertical="center"/>
    </xf>
    <xf numFmtId="0" fontId="99" fillId="0" borderId="0" xfId="108" applyFont="1" applyAlignment="1">
      <alignment horizontal="center" vertical="center" wrapText="1"/>
    </xf>
    <xf numFmtId="166" fontId="20" fillId="0" borderId="0" xfId="13" applyNumberFormat="1" applyFont="1" applyAlignment="1">
      <alignment horizontal="center" vertical="center"/>
    </xf>
    <xf numFmtId="10" fontId="8" fillId="0" borderId="0" xfId="13" applyNumberFormat="1" applyAlignment="1">
      <alignment horizontal="center" vertical="center"/>
    </xf>
    <xf numFmtId="0" fontId="45" fillId="0" borderId="0" xfId="13" applyFont="1" applyAlignment="1">
      <alignment horizontal="left" vertical="center" wrapText="1"/>
    </xf>
    <xf numFmtId="0" fontId="101" fillId="0" borderId="0" xfId="108" applyFont="1" applyAlignment="1">
      <alignment horizontal="center" vertical="center" wrapText="1"/>
    </xf>
    <xf numFmtId="1" fontId="109" fillId="0" borderId="1" xfId="0" applyNumberFormat="1" applyFont="1" applyBorder="1" applyAlignment="1">
      <alignment horizontal="center" vertical="center" wrapText="1"/>
    </xf>
    <xf numFmtId="1" fontId="133" fillId="0" borderId="1" xfId="0" applyNumberFormat="1" applyFont="1" applyBorder="1" applyAlignment="1">
      <alignment horizontal="center" vertical="center" wrapText="1"/>
    </xf>
    <xf numFmtId="1" fontId="20" fillId="3" borderId="1" xfId="0" applyNumberFormat="1" applyFont="1" applyFill="1" applyBorder="1" applyAlignment="1">
      <alignment horizontal="center" vertical="center"/>
    </xf>
    <xf numFmtId="3" fontId="90" fillId="0" borderId="1" xfId="0" applyNumberFormat="1" applyFont="1" applyBorder="1" applyAlignment="1">
      <alignment horizontal="center" vertical="center" wrapText="1"/>
    </xf>
    <xf numFmtId="165" fontId="2" fillId="0" borderId="1" xfId="0" applyNumberFormat="1" applyFont="1" applyBorder="1" applyAlignment="1">
      <alignment horizontal="center" vertical="center" wrapText="1"/>
    </xf>
    <xf numFmtId="165" fontId="127" fillId="0" borderId="1" xfId="0" applyNumberFormat="1" applyFont="1" applyBorder="1" applyAlignment="1">
      <alignment horizontal="center" vertical="center" wrapText="1"/>
    </xf>
    <xf numFmtId="3" fontId="109" fillId="0" borderId="1" xfId="0" applyNumberFormat="1" applyFont="1" applyBorder="1" applyAlignment="1">
      <alignment horizontal="center" vertical="center" wrapText="1"/>
    </xf>
    <xf numFmtId="3" fontId="133" fillId="0" borderId="1" xfId="0" applyNumberFormat="1" applyFont="1" applyBorder="1" applyAlignment="1">
      <alignment horizontal="center" vertical="center" wrapText="1"/>
    </xf>
    <xf numFmtId="0" fontId="89" fillId="0" borderId="1" xfId="0" applyFont="1" applyBorder="1" applyAlignment="1">
      <alignment horizontal="center" vertical="center"/>
    </xf>
    <xf numFmtId="0" fontId="47" fillId="0" borderId="1" xfId="0" applyFont="1" applyBorder="1" applyAlignment="1">
      <alignment horizontal="center" vertical="center"/>
    </xf>
    <xf numFmtId="170" fontId="37" fillId="0" borderId="1" xfId="0" applyNumberFormat="1" applyFont="1" applyBorder="1" applyAlignment="1">
      <alignment horizontal="center" vertical="center" wrapText="1"/>
    </xf>
    <xf numFmtId="170" fontId="37" fillId="0" borderId="1" xfId="0" applyNumberFormat="1" applyFont="1" applyBorder="1" applyAlignment="1">
      <alignment horizontal="center" vertical="center"/>
    </xf>
    <xf numFmtId="165" fontId="109" fillId="0" borderId="1" xfId="0" applyNumberFormat="1" applyFont="1" applyBorder="1" applyAlignment="1">
      <alignment horizontal="center" vertical="center"/>
    </xf>
    <xf numFmtId="165" fontId="109" fillId="0" borderId="1" xfId="0" applyNumberFormat="1" applyFont="1" applyBorder="1" applyAlignment="1">
      <alignment horizontal="center" vertical="center" wrapText="1"/>
    </xf>
    <xf numFmtId="2" fontId="109" fillId="0" borderId="1" xfId="0" applyNumberFormat="1" applyFont="1" applyBorder="1" applyAlignment="1">
      <alignment horizontal="center" vertical="center"/>
    </xf>
    <xf numFmtId="165" fontId="139" fillId="0" borderId="1" xfId="0" applyNumberFormat="1" applyFont="1" applyBorder="1" applyAlignment="1">
      <alignment horizontal="center" vertical="center" wrapText="1"/>
    </xf>
    <xf numFmtId="165" fontId="184" fillId="0" borderId="1" xfId="0" applyNumberFormat="1" applyFont="1" applyBorder="1" applyAlignment="1">
      <alignment horizontal="center" vertical="center" wrapText="1"/>
    </xf>
    <xf numFmtId="165" fontId="184" fillId="0" borderId="1" xfId="0" applyNumberFormat="1" applyFont="1" applyBorder="1"/>
    <xf numFmtId="165" fontId="199" fillId="0" borderId="1" xfId="0" applyNumberFormat="1" applyFont="1" applyBorder="1" applyAlignment="1">
      <alignment horizontal="center" vertical="center" wrapText="1"/>
    </xf>
    <xf numFmtId="165" fontId="53" fillId="0" borderId="1" xfId="0" applyNumberFormat="1" applyFont="1" applyBorder="1" applyAlignment="1">
      <alignment horizontal="center" vertical="center"/>
    </xf>
    <xf numFmtId="165" fontId="184" fillId="0" borderId="1" xfId="0" applyNumberFormat="1" applyFont="1" applyBorder="1" applyAlignment="1">
      <alignment horizontal="center" vertical="center"/>
    </xf>
    <xf numFmtId="1" fontId="184" fillId="0" borderId="1" xfId="0" applyNumberFormat="1" applyFont="1" applyBorder="1" applyAlignment="1">
      <alignment horizontal="center" vertical="center"/>
    </xf>
    <xf numFmtId="1" fontId="53" fillId="0" borderId="1" xfId="0" applyNumberFormat="1" applyFont="1" applyBorder="1" applyAlignment="1">
      <alignment horizontal="center" vertical="center"/>
    </xf>
    <xf numFmtId="1" fontId="184" fillId="0" borderId="1" xfId="0" applyNumberFormat="1" applyFont="1" applyBorder="1" applyAlignment="1">
      <alignment horizontal="center" vertical="center" wrapText="1"/>
    </xf>
    <xf numFmtId="2" fontId="53" fillId="0" borderId="1" xfId="0" applyNumberFormat="1" applyFont="1" applyBorder="1" applyAlignment="1">
      <alignment horizontal="center" vertical="center"/>
    </xf>
    <xf numFmtId="2" fontId="184" fillId="0" borderId="1" xfId="0" applyNumberFormat="1" applyFont="1" applyBorder="1" applyAlignment="1">
      <alignment horizontal="center" vertical="center"/>
    </xf>
    <xf numFmtId="2" fontId="53" fillId="0" borderId="1" xfId="0" applyNumberFormat="1" applyFont="1" applyBorder="1" applyAlignment="1">
      <alignment horizontal="center" vertical="center" wrapText="1"/>
    </xf>
    <xf numFmtId="165" fontId="89" fillId="0" borderId="1" xfId="0" applyNumberFormat="1" applyFont="1" applyBorder="1" applyAlignment="1">
      <alignment horizontal="center" vertical="center" wrapText="1"/>
    </xf>
    <xf numFmtId="165" fontId="90" fillId="0" borderId="1" xfId="0" applyNumberFormat="1" applyFont="1" applyBorder="1" applyAlignment="1">
      <alignment horizontal="center" vertical="center" wrapText="1"/>
    </xf>
    <xf numFmtId="165" fontId="133" fillId="0" borderId="1" xfId="0" applyNumberFormat="1" applyFont="1" applyBorder="1" applyAlignment="1">
      <alignment horizontal="center" vertical="center" wrapText="1"/>
    </xf>
    <xf numFmtId="165" fontId="90" fillId="0" borderId="1" xfId="0" applyNumberFormat="1" applyFont="1" applyBorder="1" applyAlignment="1">
      <alignment horizontal="center" vertical="center"/>
    </xf>
    <xf numFmtId="1" fontId="90" fillId="0" borderId="1" xfId="0" applyNumberFormat="1" applyFont="1" applyBorder="1" applyAlignment="1">
      <alignment horizontal="center"/>
    </xf>
    <xf numFmtId="1" fontId="109" fillId="0" borderId="1" xfId="0" applyNumberFormat="1" applyFont="1" applyBorder="1" applyAlignment="1">
      <alignment horizontal="center" vertical="center"/>
    </xf>
    <xf numFmtId="1" fontId="90" fillId="0" borderId="1" xfId="0" applyNumberFormat="1" applyFont="1" applyBorder="1" applyAlignment="1">
      <alignment horizontal="center" vertical="center"/>
    </xf>
    <xf numFmtId="165" fontId="89" fillId="0" borderId="1" xfId="0" applyNumberFormat="1" applyFont="1" applyBorder="1" applyAlignment="1">
      <alignment horizontal="center" vertical="center"/>
    </xf>
    <xf numFmtId="165" fontId="133" fillId="0" borderId="1" xfId="0" applyNumberFormat="1" applyFont="1" applyBorder="1" applyAlignment="1">
      <alignment horizontal="center" vertical="center"/>
    </xf>
    <xf numFmtId="1" fontId="133" fillId="0" borderId="1" xfId="0" applyNumberFormat="1" applyFont="1" applyBorder="1" applyAlignment="1">
      <alignment horizontal="center" vertical="center"/>
    </xf>
    <xf numFmtId="2" fontId="89" fillId="0" borderId="1" xfId="0" applyNumberFormat="1" applyFont="1" applyBorder="1" applyAlignment="1">
      <alignment horizontal="center" vertical="center"/>
    </xf>
    <xf numFmtId="2" fontId="90" fillId="0" borderId="1" xfId="0" applyNumberFormat="1" applyFont="1" applyBorder="1" applyAlignment="1">
      <alignment horizontal="center" vertical="center"/>
    </xf>
    <xf numFmtId="165" fontId="89" fillId="0" borderId="1" xfId="0" applyNumberFormat="1" applyFont="1" applyBorder="1" applyAlignment="1">
      <alignment horizontal="center"/>
    </xf>
    <xf numFmtId="0" fontId="90" fillId="0" borderId="1" xfId="0" applyFont="1" applyBorder="1" applyAlignment="1">
      <alignment horizontal="center"/>
    </xf>
    <xf numFmtId="1" fontId="199" fillId="0" borderId="1" xfId="0" applyNumberFormat="1" applyFont="1" applyBorder="1" applyAlignment="1">
      <alignment horizontal="center" vertical="center" wrapText="1"/>
    </xf>
    <xf numFmtId="1" fontId="139" fillId="0" borderId="1" xfId="0" applyNumberFormat="1" applyFont="1" applyBorder="1" applyAlignment="1">
      <alignment horizontal="center" vertical="center" wrapText="1"/>
    </xf>
    <xf numFmtId="0" fontId="53" fillId="0" borderId="1" xfId="0" applyFont="1" applyBorder="1" applyAlignment="1">
      <alignment horizontal="center" vertical="center"/>
    </xf>
    <xf numFmtId="0" fontId="53" fillId="0" borderId="1" xfId="0" applyFont="1" applyBorder="1"/>
    <xf numFmtId="2" fontId="184" fillId="0" borderId="1" xfId="0" applyNumberFormat="1" applyFont="1" applyBorder="1" applyAlignment="1">
      <alignment horizontal="center" vertical="center" wrapText="1"/>
    </xf>
    <xf numFmtId="0" fontId="199" fillId="0" borderId="1" xfId="0" applyFont="1" applyBorder="1" applyAlignment="1">
      <alignment horizontal="center" vertical="center" wrapText="1"/>
    </xf>
    <xf numFmtId="0" fontId="184" fillId="0" borderId="1" xfId="0" applyFont="1" applyBorder="1" applyAlignment="1">
      <alignment horizontal="center" vertical="center" wrapText="1"/>
    </xf>
    <xf numFmtId="0" fontId="184" fillId="0" borderId="1" xfId="0" applyFont="1" applyBorder="1" applyAlignment="1">
      <alignment horizontal="center" vertical="center"/>
    </xf>
    <xf numFmtId="3" fontId="199" fillId="0" borderId="1" xfId="0" applyNumberFormat="1" applyFont="1" applyBorder="1" applyAlignment="1">
      <alignment horizontal="center" vertical="center" wrapText="1"/>
    </xf>
    <xf numFmtId="3" fontId="53" fillId="0" borderId="1" xfId="0" applyNumberFormat="1" applyFont="1" applyBorder="1" applyAlignment="1">
      <alignment horizontal="center" vertical="center"/>
    </xf>
    <xf numFmtId="3" fontId="184" fillId="0" borderId="1" xfId="0" applyNumberFormat="1" applyFont="1" applyBorder="1" applyAlignment="1">
      <alignment horizontal="center" vertical="center"/>
    </xf>
    <xf numFmtId="170" fontId="199" fillId="0" borderId="1" xfId="0" applyNumberFormat="1" applyFont="1" applyBorder="1" applyAlignment="1">
      <alignment horizontal="center" vertical="center" wrapText="1"/>
    </xf>
    <xf numFmtId="170" fontId="53" fillId="0" borderId="1" xfId="0" applyNumberFormat="1" applyFont="1" applyBorder="1" applyAlignment="1">
      <alignment horizontal="center" vertical="center"/>
    </xf>
    <xf numFmtId="3" fontId="90" fillId="0" borderId="1" xfId="0" applyNumberFormat="1" applyFont="1" applyBorder="1" applyAlignment="1">
      <alignment horizontal="center" vertical="center"/>
    </xf>
    <xf numFmtId="3" fontId="53" fillId="0" borderId="1" xfId="0" applyNumberFormat="1" applyFont="1" applyBorder="1" applyAlignment="1">
      <alignment horizontal="center"/>
    </xf>
    <xf numFmtId="3" fontId="199" fillId="0" borderId="1" xfId="0" applyNumberFormat="1" applyFont="1" applyBorder="1" applyAlignment="1">
      <alignment horizontal="center"/>
    </xf>
    <xf numFmtId="3" fontId="200" fillId="0" borderId="1" xfId="0" applyNumberFormat="1" applyFont="1" applyBorder="1" applyAlignment="1">
      <alignment horizontal="center"/>
    </xf>
    <xf numFmtId="3" fontId="199" fillId="0" borderId="1" xfId="0" applyNumberFormat="1" applyFont="1" applyBorder="1" applyAlignment="1">
      <alignment horizontal="center" vertical="center"/>
    </xf>
    <xf numFmtId="3" fontId="139" fillId="0" borderId="1" xfId="0" applyNumberFormat="1" applyFont="1" applyBorder="1" applyAlignment="1">
      <alignment horizontal="center" vertical="center"/>
    </xf>
    <xf numFmtId="3" fontId="184" fillId="0" borderId="1" xfId="0" applyNumberFormat="1" applyFont="1" applyBorder="1" applyAlignment="1">
      <alignment horizontal="center"/>
    </xf>
    <xf numFmtId="3" fontId="43" fillId="0" borderId="1" xfId="0" applyNumberFormat="1" applyFont="1" applyBorder="1" applyAlignment="1">
      <alignment horizontal="center" vertical="center"/>
    </xf>
    <xf numFmtId="3" fontId="201" fillId="0" borderId="1" xfId="0" applyNumberFormat="1" applyFont="1" applyBorder="1" applyAlignment="1">
      <alignment horizontal="center" vertical="center"/>
    </xf>
    <xf numFmtId="3" fontId="133" fillId="0" borderId="1" xfId="0" applyNumberFormat="1" applyFont="1" applyBorder="1" applyAlignment="1">
      <alignment horizontal="center" vertical="center"/>
    </xf>
    <xf numFmtId="3" fontId="89" fillId="0" borderId="1" xfId="0" applyNumberFormat="1" applyFont="1" applyBorder="1" applyAlignment="1">
      <alignment horizontal="center" vertical="center"/>
    </xf>
    <xf numFmtId="3" fontId="109" fillId="0" borderId="1" xfId="0" applyNumberFormat="1" applyFont="1" applyBorder="1" applyAlignment="1">
      <alignment horizontal="center" vertical="center"/>
    </xf>
    <xf numFmtId="0" fontId="139" fillId="0" borderId="1" xfId="0" applyFont="1" applyBorder="1" applyAlignment="1">
      <alignment horizontal="center" vertical="center" wrapText="1"/>
    </xf>
    <xf numFmtId="0" fontId="184" fillId="0" borderId="1" xfId="0" applyFont="1" applyBorder="1" applyAlignment="1">
      <alignment vertical="center" wrapText="1"/>
    </xf>
    <xf numFmtId="0" fontId="184" fillId="0" borderId="1" xfId="0" applyFont="1" applyBorder="1"/>
    <xf numFmtId="1" fontId="199" fillId="0" borderId="1" xfId="0" applyNumberFormat="1" applyFont="1" applyBorder="1" applyAlignment="1">
      <alignment horizontal="center" vertical="center"/>
    </xf>
    <xf numFmtId="1" fontId="184" fillId="2" borderId="1" xfId="0" applyNumberFormat="1" applyFont="1" applyFill="1" applyBorder="1" applyAlignment="1">
      <alignment horizontal="center" vertical="center"/>
    </xf>
    <xf numFmtId="1" fontId="53" fillId="0" borderId="1" xfId="0" applyNumberFormat="1" applyFont="1" applyBorder="1"/>
    <xf numFmtId="1" fontId="109" fillId="0" borderId="1" xfId="0" applyNumberFormat="1" applyFont="1" applyBorder="1"/>
    <xf numFmtId="1" fontId="199" fillId="2" borderId="1" xfId="0" applyNumberFormat="1" applyFont="1" applyFill="1" applyBorder="1" applyAlignment="1">
      <alignment horizontal="center" vertical="center"/>
    </xf>
    <xf numFmtId="1" fontId="139" fillId="0" borderId="1" xfId="0" applyNumberFormat="1" applyFont="1" applyBorder="1" applyAlignment="1">
      <alignment horizontal="center" vertical="center"/>
    </xf>
    <xf numFmtId="0" fontId="89" fillId="2" borderId="1" xfId="0" applyFont="1" applyFill="1" applyBorder="1" applyAlignment="1">
      <alignment horizontal="center" vertical="center" wrapText="1"/>
    </xf>
    <xf numFmtId="0" fontId="89" fillId="2" borderId="1" xfId="0" applyFont="1" applyFill="1" applyBorder="1" applyAlignment="1">
      <alignment horizontal="center" vertical="center"/>
    </xf>
    <xf numFmtId="0" fontId="90" fillId="2" borderId="1" xfId="0" applyFont="1" applyFill="1" applyBorder="1" applyAlignment="1">
      <alignment horizontal="center" vertical="center" wrapText="1"/>
    </xf>
    <xf numFmtId="1" fontId="196" fillId="0" borderId="1" xfId="0" applyNumberFormat="1" applyFont="1" applyBorder="1" applyAlignment="1">
      <alignment horizontal="center" vertical="center" wrapText="1"/>
    </xf>
    <xf numFmtId="1" fontId="202" fillId="0" borderId="1" xfId="0" applyNumberFormat="1" applyFont="1" applyBorder="1" applyAlignment="1">
      <alignment horizontal="center" vertical="center" wrapText="1"/>
    </xf>
    <xf numFmtId="0" fontId="196" fillId="0" borderId="1" xfId="0" applyFont="1" applyBorder="1" applyAlignment="1">
      <alignment horizontal="center" vertical="center" wrapText="1"/>
    </xf>
    <xf numFmtId="166" fontId="184" fillId="0" borderId="1" xfId="0" applyNumberFormat="1" applyFont="1" applyBorder="1" applyAlignment="1">
      <alignment horizontal="center" vertical="center" wrapText="1"/>
    </xf>
    <xf numFmtId="0" fontId="109" fillId="0" borderId="1" xfId="0" applyFont="1" applyBorder="1" applyAlignment="1">
      <alignment horizontal="center"/>
    </xf>
    <xf numFmtId="0" fontId="133" fillId="5" borderId="5" xfId="0" applyFont="1" applyFill="1" applyBorder="1" applyAlignment="1">
      <alignment vertical="center" wrapText="1"/>
    </xf>
    <xf numFmtId="0" fontId="127" fillId="0" borderId="0" xfId="0" applyFont="1"/>
    <xf numFmtId="0" fontId="139" fillId="0" borderId="1" xfId="0" applyFont="1" applyBorder="1" applyAlignment="1">
      <alignment horizontal="center" vertical="center"/>
    </xf>
    <xf numFmtId="0" fontId="37" fillId="0" borderId="18" xfId="0" applyFont="1" applyBorder="1" applyAlignment="1">
      <alignment vertical="center" wrapText="1"/>
    </xf>
    <xf numFmtId="0" fontId="53" fillId="0" borderId="1" xfId="0" applyFont="1" applyBorder="1" applyAlignment="1">
      <alignment horizontal="center" vertical="center" wrapText="1"/>
    </xf>
    <xf numFmtId="0" fontId="133" fillId="0" borderId="1" xfId="0" applyFont="1" applyBorder="1" applyAlignment="1">
      <alignment horizontal="center" vertical="center"/>
    </xf>
    <xf numFmtId="0" fontId="114" fillId="0" borderId="1" xfId="0" applyFont="1" applyBorder="1" applyAlignment="1">
      <alignment horizontal="left" vertical="center" wrapText="1"/>
    </xf>
    <xf numFmtId="0" fontId="195" fillId="0" borderId="1" xfId="0" applyFont="1" applyBorder="1"/>
    <xf numFmtId="3" fontId="139" fillId="0" borderId="1" xfId="0" applyNumberFormat="1" applyFont="1" applyBorder="1" applyAlignment="1">
      <alignment horizontal="center" vertical="center" wrapText="1"/>
    </xf>
    <xf numFmtId="3" fontId="133" fillId="2" borderId="1" xfId="0" applyNumberFormat="1" applyFont="1" applyFill="1" applyBorder="1" applyAlignment="1" applyProtection="1">
      <alignment horizontal="center" vertical="center"/>
      <protection hidden="1"/>
    </xf>
    <xf numFmtId="3" fontId="133" fillId="0" borderId="1" xfId="0" applyNumberFormat="1" applyFont="1" applyBorder="1" applyAlignment="1" applyProtection="1">
      <alignment horizontal="center" vertical="center"/>
      <protection hidden="1"/>
    </xf>
    <xf numFmtId="3" fontId="89" fillId="0" borderId="1" xfId="0" applyNumberFormat="1" applyFont="1" applyBorder="1" applyAlignment="1" applyProtection="1">
      <alignment horizontal="center" vertical="center"/>
      <protection hidden="1"/>
    </xf>
    <xf numFmtId="3" fontId="109" fillId="0" borderId="1" xfId="0" applyNumberFormat="1" applyFont="1" applyBorder="1" applyAlignment="1" applyProtection="1">
      <alignment horizontal="center" vertical="center"/>
      <protection hidden="1"/>
    </xf>
    <xf numFmtId="3" fontId="90" fillId="0" borderId="1" xfId="0" applyNumberFormat="1" applyFont="1" applyBorder="1" applyAlignment="1" applyProtection="1">
      <alignment horizontal="center" vertical="center"/>
      <protection hidden="1"/>
    </xf>
    <xf numFmtId="0" fontId="133" fillId="2" borderId="1" xfId="0" applyFont="1" applyFill="1" applyBorder="1" applyAlignment="1" applyProtection="1">
      <alignment horizontal="center" vertical="center"/>
      <protection hidden="1"/>
    </xf>
    <xf numFmtId="165" fontId="90" fillId="0" borderId="1" xfId="128" applyNumberFormat="1" applyFont="1" applyBorder="1" applyAlignment="1">
      <alignment horizontal="center"/>
    </xf>
    <xf numFmtId="0" fontId="109" fillId="0" borderId="1" xfId="0" applyFont="1" applyBorder="1" applyAlignment="1" applyProtection="1">
      <alignment horizontal="center" vertical="center"/>
      <protection hidden="1"/>
    </xf>
    <xf numFmtId="3" fontId="109" fillId="2" borderId="1" xfId="0" applyNumberFormat="1" applyFont="1" applyFill="1" applyBorder="1" applyAlignment="1" applyProtection="1">
      <alignment horizontal="center" vertical="center"/>
      <protection hidden="1"/>
    </xf>
    <xf numFmtId="3" fontId="90" fillId="2" borderId="1" xfId="0" applyNumberFormat="1" applyFont="1" applyFill="1" applyBorder="1" applyAlignment="1" applyProtection="1">
      <alignment horizontal="center" vertical="center"/>
      <protection hidden="1"/>
    </xf>
    <xf numFmtId="3" fontId="109" fillId="0" borderId="1" xfId="0" applyNumberFormat="1" applyFont="1" applyBorder="1"/>
    <xf numFmtId="0" fontId="90" fillId="0" borderId="1" xfId="0" applyFont="1" applyBorder="1"/>
    <xf numFmtId="170" fontId="90" fillId="0" borderId="1" xfId="0" applyNumberFormat="1" applyFont="1" applyBorder="1" applyAlignment="1">
      <alignment horizontal="center" vertical="center" wrapText="1"/>
    </xf>
    <xf numFmtId="170" fontId="90" fillId="0" borderId="26" xfId="0" applyNumberFormat="1" applyFont="1" applyBorder="1" applyAlignment="1">
      <alignment horizontal="center" vertical="center" wrapText="1"/>
    </xf>
    <xf numFmtId="0" fontId="16" fillId="0" borderId="24" xfId="0" applyFont="1" applyBorder="1" applyAlignment="1">
      <alignment horizontal="center" vertical="center"/>
    </xf>
    <xf numFmtId="3" fontId="133" fillId="0" borderId="1" xfId="9" applyNumberFormat="1" applyFont="1" applyFill="1" applyBorder="1" applyAlignment="1">
      <alignment horizontal="center" vertical="center"/>
    </xf>
    <xf numFmtId="3" fontId="89" fillId="0" borderId="1" xfId="9" applyNumberFormat="1" applyFont="1" applyFill="1" applyBorder="1" applyAlignment="1">
      <alignment horizontal="center" vertical="center"/>
    </xf>
    <xf numFmtId="3" fontId="133" fillId="0" borderId="24" xfId="9" applyNumberFormat="1" applyFont="1" applyFill="1" applyBorder="1" applyAlignment="1">
      <alignment horizontal="center" vertical="center"/>
    </xf>
    <xf numFmtId="3" fontId="109" fillId="0" borderId="1" xfId="129" applyNumberFormat="1" applyFont="1" applyFill="1" applyBorder="1" applyAlignment="1">
      <alignment horizontal="center" vertical="center"/>
    </xf>
    <xf numFmtId="3" fontId="90" fillId="0" borderId="1" xfId="129" applyNumberFormat="1" applyFont="1" applyFill="1" applyBorder="1" applyAlignment="1">
      <alignment horizontal="center" vertical="center"/>
    </xf>
    <xf numFmtId="3" fontId="89" fillId="0" borderId="24" xfId="0" applyNumberFormat="1" applyFont="1" applyBorder="1" applyAlignment="1">
      <alignment horizontal="center" vertical="center"/>
    </xf>
    <xf numFmtId="0" fontId="204" fillId="0" borderId="0" xfId="0" applyFont="1" applyAlignment="1">
      <alignment horizontal="center" wrapText="1"/>
    </xf>
    <xf numFmtId="0" fontId="43" fillId="0" borderId="25" xfId="0" applyFont="1" applyBorder="1" applyAlignment="1">
      <alignment horizontal="center" vertical="center" wrapText="1"/>
    </xf>
    <xf numFmtId="0" fontId="139" fillId="0" borderId="25" xfId="0" applyFont="1" applyBorder="1" applyAlignment="1">
      <alignment horizontal="center" vertical="center" wrapText="1"/>
    </xf>
    <xf numFmtId="0" fontId="196" fillId="0" borderId="1" xfId="0" applyFont="1" applyBorder="1" applyAlignment="1">
      <alignment horizontal="center" vertical="center"/>
    </xf>
    <xf numFmtId="1" fontId="196" fillId="0" borderId="1" xfId="0" applyNumberFormat="1" applyFont="1" applyBorder="1" applyAlignment="1">
      <alignment horizontal="center" vertical="center"/>
    </xf>
    <xf numFmtId="165" fontId="202" fillId="0" borderId="1" xfId="0" applyNumberFormat="1" applyFont="1" applyBorder="1" applyAlignment="1">
      <alignment horizontal="center" vertical="center" wrapText="1"/>
    </xf>
    <xf numFmtId="165" fontId="196" fillId="0" borderId="1" xfId="0" applyNumberFormat="1" applyFont="1" applyBorder="1" applyAlignment="1">
      <alignment horizontal="center" vertical="center" wrapText="1"/>
    </xf>
    <xf numFmtId="3" fontId="109" fillId="0" borderId="1" xfId="3" applyNumberFormat="1" applyFont="1" applyBorder="1" applyAlignment="1">
      <alignment horizontal="center" vertical="center"/>
    </xf>
    <xf numFmtId="3" fontId="90" fillId="0" borderId="1" xfId="3" applyNumberFormat="1" applyFont="1" applyBorder="1" applyAlignment="1">
      <alignment horizontal="center" vertical="center"/>
    </xf>
    <xf numFmtId="3" fontId="89" fillId="0" borderId="6" xfId="0" applyNumberFormat="1" applyFont="1" applyBorder="1" applyAlignment="1">
      <alignment horizontal="center" vertical="center" wrapText="1"/>
    </xf>
    <xf numFmtId="3" fontId="90" fillId="0" borderId="1" xfId="0" applyNumberFormat="1" applyFont="1" applyBorder="1" applyAlignment="1">
      <alignment vertical="center" wrapText="1"/>
    </xf>
    <xf numFmtId="3" fontId="90" fillId="0" borderId="1" xfId="0" applyNumberFormat="1" applyFont="1" applyBorder="1"/>
    <xf numFmtId="170" fontId="90" fillId="0" borderId="1" xfId="0" applyNumberFormat="1" applyFont="1" applyBorder="1" applyAlignment="1">
      <alignment horizontal="center" vertical="center"/>
    </xf>
    <xf numFmtId="170" fontId="40" fillId="0" borderId="1" xfId="0" applyNumberFormat="1" applyFont="1" applyBorder="1" applyAlignment="1">
      <alignment horizontal="center" vertical="center"/>
    </xf>
    <xf numFmtId="0" fontId="184" fillId="33" borderId="1" xfId="0" applyFont="1" applyFill="1" applyBorder="1"/>
    <xf numFmtId="0" fontId="53" fillId="33" borderId="1" xfId="0" applyFont="1" applyFill="1" applyBorder="1" applyAlignment="1">
      <alignment horizontal="center" vertical="center"/>
    </xf>
    <xf numFmtId="1" fontId="184" fillId="33" borderId="1" xfId="0" applyNumberFormat="1" applyFont="1" applyFill="1" applyBorder="1" applyAlignment="1">
      <alignment horizontal="center" vertical="center"/>
    </xf>
    <xf numFmtId="1" fontId="53" fillId="33" borderId="1" xfId="0" applyNumberFormat="1" applyFont="1" applyFill="1" applyBorder="1" applyAlignment="1">
      <alignment horizontal="center" vertical="center"/>
    </xf>
    <xf numFmtId="0" fontId="184" fillId="33" borderId="1" xfId="0" applyFont="1" applyFill="1" applyBorder="1" applyAlignment="1">
      <alignment vertical="center"/>
    </xf>
    <xf numFmtId="0" fontId="53" fillId="33" borderId="1" xfId="0" applyFont="1" applyFill="1" applyBorder="1"/>
    <xf numFmtId="0" fontId="184" fillId="2" borderId="1" xfId="0" applyFont="1" applyFill="1" applyBorder="1" applyAlignment="1">
      <alignment horizontal="center" vertical="center"/>
    </xf>
    <xf numFmtId="1" fontId="53" fillId="2" borderId="1" xfId="0" applyNumberFormat="1" applyFont="1" applyFill="1" applyBorder="1" applyAlignment="1">
      <alignment horizontal="center" vertical="center"/>
    </xf>
    <xf numFmtId="3" fontId="202" fillId="0" borderId="1" xfId="0" applyNumberFormat="1" applyFont="1" applyBorder="1" applyAlignment="1">
      <alignment horizontal="center" vertical="center" wrapText="1"/>
    </xf>
    <xf numFmtId="165" fontId="53" fillId="3" borderId="1" xfId="0" applyNumberFormat="1" applyFont="1" applyFill="1" applyBorder="1" applyAlignment="1">
      <alignment horizontal="center" vertical="center"/>
    </xf>
    <xf numFmtId="165" fontId="53" fillId="34" borderId="1" xfId="0" applyNumberFormat="1" applyFont="1" applyFill="1" applyBorder="1" applyAlignment="1">
      <alignment horizontal="center" vertical="center"/>
    </xf>
    <xf numFmtId="165" fontId="48" fillId="0" borderId="1" xfId="0" applyNumberFormat="1" applyFont="1" applyFill="1" applyBorder="1" applyAlignment="1">
      <alignment horizontal="center" vertical="center"/>
    </xf>
    <xf numFmtId="0" fontId="48" fillId="0" borderId="1" xfId="0" applyFont="1" applyFill="1" applyBorder="1" applyAlignment="1">
      <alignment horizontal="center" vertical="center"/>
    </xf>
    <xf numFmtId="0" fontId="48" fillId="0" borderId="18" xfId="0" applyFont="1" applyFill="1" applyBorder="1" applyAlignment="1">
      <alignment horizontal="center" vertical="center"/>
    </xf>
    <xf numFmtId="0" fontId="48" fillId="0" borderId="25" xfId="0" applyFont="1" applyFill="1" applyBorder="1" applyAlignment="1">
      <alignment horizontal="center" vertical="center"/>
    </xf>
    <xf numFmtId="165" fontId="48" fillId="0" borderId="18" xfId="0" applyNumberFormat="1" applyFont="1" applyFill="1" applyBorder="1" applyAlignment="1">
      <alignment horizontal="center" vertical="center"/>
    </xf>
    <xf numFmtId="0" fontId="23" fillId="0" borderId="18" xfId="0" applyFont="1" applyFill="1" applyBorder="1" applyAlignment="1">
      <alignment horizontal="center" vertical="center"/>
    </xf>
    <xf numFmtId="0" fontId="179" fillId="0" borderId="1" xfId="13" applyFont="1" applyFill="1" applyBorder="1" applyAlignment="1">
      <alignment horizontal="center" vertical="center"/>
    </xf>
    <xf numFmtId="0" fontId="20" fillId="0" borderId="1" xfId="13" applyFont="1" applyFill="1" applyBorder="1" applyAlignment="1">
      <alignment horizontal="center" vertical="center"/>
    </xf>
    <xf numFmtId="3" fontId="53" fillId="0" borderId="1" xfId="0" applyNumberFormat="1" applyFont="1" applyFill="1" applyBorder="1" applyAlignment="1">
      <alignment horizontal="center" vertical="center" wrapText="1"/>
    </xf>
    <xf numFmtId="0" fontId="109" fillId="0" borderId="1" xfId="0" applyFont="1" applyFill="1" applyBorder="1" applyAlignment="1">
      <alignment horizontal="center" vertical="center" wrapText="1"/>
    </xf>
    <xf numFmtId="3" fontId="53" fillId="0" borderId="18" xfId="0" applyNumberFormat="1" applyFont="1" applyFill="1" applyBorder="1" applyAlignment="1">
      <alignment horizontal="center" vertical="center" wrapText="1"/>
    </xf>
    <xf numFmtId="0" fontId="205" fillId="0" borderId="0" xfId="0" applyFont="1" applyAlignment="1">
      <alignment vertical="center"/>
    </xf>
    <xf numFmtId="0" fontId="95" fillId="0" borderId="0" xfId="13" applyFont="1" applyFill="1" applyAlignment="1">
      <alignment horizontal="left" vertical="center"/>
    </xf>
    <xf numFmtId="165" fontId="93" fillId="0" borderId="1" xfId="0" applyNumberFormat="1" applyFont="1" applyFill="1" applyBorder="1" applyAlignment="1">
      <alignment horizontal="center" vertical="center"/>
    </xf>
    <xf numFmtId="2" fontId="93" fillId="0" borderId="1" xfId="0" applyNumberFormat="1" applyFont="1" applyFill="1" applyBorder="1" applyAlignment="1">
      <alignment horizontal="center" vertical="center"/>
    </xf>
    <xf numFmtId="166" fontId="23" fillId="0" borderId="1" xfId="0" applyNumberFormat="1" applyFont="1" applyFill="1" applyBorder="1" applyAlignment="1">
      <alignment horizontal="center" vertical="center" wrapText="1"/>
    </xf>
    <xf numFmtId="0" fontId="26" fillId="0" borderId="0" xfId="0" applyFont="1" applyAlignment="1">
      <alignment vertical="center"/>
    </xf>
    <xf numFmtId="0" fontId="142" fillId="0" borderId="0" xfId="10" applyFont="1" applyFill="1" applyAlignment="1">
      <alignment horizontal="center" vertical="center" wrapText="1"/>
    </xf>
    <xf numFmtId="3" fontId="35" fillId="0" borderId="1" xfId="0" applyNumberFormat="1" applyFont="1" applyFill="1" applyBorder="1" applyAlignment="1">
      <alignment horizontal="center" vertical="center" wrapText="1"/>
    </xf>
    <xf numFmtId="3" fontId="93" fillId="0" borderId="1" xfId="3" applyNumberFormat="1" applyFont="1" applyFill="1" applyBorder="1" applyAlignment="1">
      <alignment horizontal="center" vertical="center"/>
    </xf>
    <xf numFmtId="3" fontId="45" fillId="0" borderId="1" xfId="0" applyNumberFormat="1" applyFont="1" applyBorder="1" applyAlignment="1">
      <alignment horizontal="center" vertical="center"/>
    </xf>
    <xf numFmtId="170" fontId="45" fillId="0" borderId="1" xfId="0" applyNumberFormat="1" applyFont="1" applyBorder="1" applyAlignment="1">
      <alignment horizontal="center" vertical="center"/>
    </xf>
    <xf numFmtId="0" fontId="19" fillId="0" borderId="18" xfId="0" applyFont="1" applyBorder="1" applyAlignment="1">
      <alignment horizontal="left" vertical="center"/>
    </xf>
    <xf numFmtId="0" fontId="0" fillId="0" borderId="1" xfId="0" applyFont="1" applyBorder="1"/>
    <xf numFmtId="3" fontId="97" fillId="0" borderId="0" xfId="0" applyNumberFormat="1" applyFont="1" applyAlignment="1">
      <alignment horizontal="center" vertical="center"/>
    </xf>
    <xf numFmtId="3" fontId="97" fillId="0" borderId="1" xfId="0" applyNumberFormat="1" applyFont="1" applyBorder="1" applyAlignment="1">
      <alignment horizontal="center" vertical="center" wrapText="1"/>
    </xf>
    <xf numFmtId="3" fontId="100" fillId="0" borderId="1" xfId="0" applyNumberFormat="1" applyFont="1" applyFill="1" applyBorder="1" applyAlignment="1">
      <alignment horizontal="center" vertical="center" wrapText="1"/>
    </xf>
    <xf numFmtId="3" fontId="97" fillId="0" borderId="1" xfId="0" applyNumberFormat="1" applyFont="1" applyFill="1" applyBorder="1" applyAlignment="1">
      <alignment horizontal="center" vertical="center"/>
    </xf>
    <xf numFmtId="0" fontId="150" fillId="0" borderId="0" xfId="0" applyFont="1" applyAlignment="1">
      <alignment horizontal="center" wrapText="1"/>
    </xf>
    <xf numFmtId="0" fontId="174" fillId="0" borderId="0" xfId="0" applyFont="1" applyAlignment="1">
      <alignment horizontal="center" wrapText="1"/>
    </xf>
    <xf numFmtId="0" fontId="45" fillId="3" borderId="0" xfId="0" applyFont="1" applyFill="1" applyAlignment="1">
      <alignment horizontal="left" vertical="center" wrapText="1"/>
    </xf>
    <xf numFmtId="1" fontId="89" fillId="3" borderId="1" xfId="0" applyNumberFormat="1" applyFont="1" applyFill="1" applyBorder="1" applyAlignment="1">
      <alignment horizontal="center" vertical="center" wrapText="1"/>
    </xf>
    <xf numFmtId="1" fontId="90" fillId="3" borderId="1" xfId="0" applyNumberFormat="1" applyFont="1" applyFill="1" applyBorder="1" applyAlignment="1">
      <alignment horizontal="center" vertical="center" wrapText="1"/>
    </xf>
    <xf numFmtId="1" fontId="184" fillId="3" borderId="1" xfId="0" applyNumberFormat="1" applyFont="1" applyFill="1" applyBorder="1" applyAlignment="1">
      <alignment horizontal="center" vertical="center" wrapText="1"/>
    </xf>
    <xf numFmtId="0" fontId="184" fillId="3" borderId="1" xfId="0" applyFont="1" applyFill="1" applyBorder="1" applyAlignment="1">
      <alignment horizontal="center" vertical="center" wrapText="1"/>
    </xf>
    <xf numFmtId="0" fontId="19" fillId="3" borderId="23" xfId="0" applyFont="1" applyFill="1" applyBorder="1" applyAlignment="1">
      <alignment horizontal="left"/>
    </xf>
    <xf numFmtId="0" fontId="45" fillId="3" borderId="0" xfId="0" applyFont="1" applyFill="1" applyAlignment="1">
      <alignment horizontal="left" vertical="center"/>
    </xf>
    <xf numFmtId="0" fontId="147" fillId="0" borderId="0" xfId="10" applyFont="1" applyAlignment="1">
      <alignment horizontal="center" vertical="center" wrapText="1"/>
    </xf>
    <xf numFmtId="0" fontId="147" fillId="0" borderId="1" xfId="0" applyFont="1" applyBorder="1" applyAlignment="1">
      <alignment vertical="center" wrapText="1"/>
    </xf>
    <xf numFmtId="0" fontId="206" fillId="0" borderId="1" xfId="0" applyFont="1" applyBorder="1" applyAlignment="1">
      <alignment horizontal="center" vertical="center"/>
    </xf>
    <xf numFmtId="0" fontId="206" fillId="0" borderId="1" xfId="0" applyFont="1" applyBorder="1" applyAlignment="1">
      <alignment horizontal="center" vertical="center" wrapText="1"/>
    </xf>
    <xf numFmtId="0" fontId="174" fillId="0" borderId="1" xfId="0" applyFont="1" applyBorder="1" applyAlignment="1">
      <alignment horizontal="center" vertical="center" wrapText="1"/>
    </xf>
    <xf numFmtId="0" fontId="45" fillId="0" borderId="0" xfId="13" applyFont="1" applyAlignment="1">
      <alignment horizontal="justify" vertical="center" wrapText="1"/>
    </xf>
    <xf numFmtId="0" fontId="33" fillId="4" borderId="7" xfId="13" applyFont="1" applyFill="1" applyBorder="1" applyAlignment="1">
      <alignment vertical="center" wrapText="1"/>
    </xf>
    <xf numFmtId="0" fontId="0" fillId="0" borderId="7" xfId="0" applyBorder="1"/>
    <xf numFmtId="0" fontId="45" fillId="0" borderId="0" xfId="135" applyFont="1" applyAlignment="1">
      <alignment vertical="center" wrapText="1"/>
    </xf>
    <xf numFmtId="0" fontId="45" fillId="0" borderId="0" xfId="13" applyFont="1" applyAlignment="1">
      <alignment horizontal="left" vertical="center" wrapText="1"/>
    </xf>
    <xf numFmtId="0" fontId="41" fillId="3" borderId="0" xfId="0" applyFont="1" applyFill="1" applyAlignment="1">
      <alignment horizontal="left" vertical="center" wrapText="1"/>
    </xf>
    <xf numFmtId="0" fontId="41" fillId="0" borderId="0" xfId="13" applyFont="1" applyAlignment="1">
      <alignment horizontal="justify" vertical="center" wrapText="1"/>
    </xf>
    <xf numFmtId="0" fontId="140" fillId="0" borderId="0" xfId="13" applyFont="1" applyAlignment="1">
      <alignment vertical="center" wrapText="1"/>
    </xf>
    <xf numFmtId="0" fontId="45" fillId="0" borderId="0" xfId="0" applyFont="1" applyAlignment="1">
      <alignment horizontal="left" vertical="center" wrapText="1"/>
    </xf>
    <xf numFmtId="0" fontId="20" fillId="0" borderId="0" xfId="0" applyFont="1" applyAlignment="1">
      <alignment horizontal="left" vertical="center" wrapText="1"/>
    </xf>
    <xf numFmtId="0" fontId="90" fillId="0" borderId="28" xfId="0" applyFont="1" applyBorder="1" applyAlignment="1">
      <alignment horizontal="left" vertical="center" wrapText="1"/>
    </xf>
    <xf numFmtId="0" fontId="90" fillId="0" borderId="23" xfId="0" applyFont="1" applyBorder="1" applyAlignment="1">
      <alignment horizontal="left" vertical="center" wrapText="1"/>
    </xf>
    <xf numFmtId="0" fontId="90" fillId="0" borderId="0" xfId="0" applyFont="1" applyAlignment="1">
      <alignment vertical="center" wrapText="1"/>
    </xf>
    <xf numFmtId="0" fontId="114" fillId="0" borderId="0" xfId="0" applyFont="1" applyAlignment="1">
      <alignment horizontal="left" vertical="center" wrapText="1"/>
    </xf>
    <xf numFmtId="0" fontId="45" fillId="3" borderId="0" xfId="0" applyFont="1" applyFill="1" applyAlignment="1">
      <alignment horizontal="left" vertical="center" wrapText="1"/>
    </xf>
    <xf numFmtId="0" fontId="2" fillId="0" borderId="0" xfId="0" applyFont="1" applyAlignment="1">
      <alignment horizontal="left" wrapText="1"/>
    </xf>
    <xf numFmtId="0" fontId="27" fillId="0" borderId="0" xfId="0" applyFont="1" applyAlignment="1">
      <alignment horizontal="left" wrapText="1"/>
    </xf>
    <xf numFmtId="0" fontId="45" fillId="0" borderId="0" xfId="0" applyFont="1" applyAlignment="1" applyProtection="1">
      <alignment horizontal="left" vertical="center" wrapText="1"/>
      <protection locked="0"/>
    </xf>
    <xf numFmtId="0" fontId="20" fillId="0" borderId="0" xfId="0" applyFont="1" applyAlignment="1">
      <alignment vertical="center" wrapText="1"/>
    </xf>
    <xf numFmtId="0" fontId="36" fillId="0" borderId="23" xfId="0" applyFont="1" applyBorder="1" applyAlignment="1">
      <alignment vertical="center" wrapText="1"/>
    </xf>
    <xf numFmtId="0" fontId="19" fillId="0" borderId="0" xfId="0" applyFont="1" applyAlignment="1">
      <alignment vertical="center" wrapText="1"/>
    </xf>
    <xf numFmtId="0" fontId="0" fillId="0" borderId="0" xfId="0" applyAlignment="1">
      <alignment vertical="center" wrapText="1"/>
    </xf>
    <xf numFmtId="0" fontId="188" fillId="0" borderId="0" xfId="0" applyFont="1" applyAlignment="1">
      <alignment horizontal="left" vertical="center" wrapText="1"/>
    </xf>
    <xf numFmtId="0" fontId="41" fillId="3" borderId="0" xfId="0" applyFont="1" applyFill="1" applyAlignment="1" applyProtection="1">
      <alignment horizontal="left" vertical="center" wrapText="1"/>
      <protection locked="0"/>
    </xf>
    <xf numFmtId="0" fontId="46" fillId="0" borderId="0" xfId="0" applyFont="1" applyAlignment="1">
      <alignment vertical="center" wrapText="1"/>
    </xf>
    <xf numFmtId="0" fontId="19" fillId="0" borderId="23" xfId="0" applyFont="1" applyBorder="1" applyAlignment="1">
      <alignment vertical="center" wrapText="1"/>
    </xf>
    <xf numFmtId="0" fontId="39" fillId="0" borderId="23" xfId="0" applyFont="1" applyBorder="1" applyAlignment="1">
      <alignment vertical="center" wrapText="1"/>
    </xf>
    <xf numFmtId="0" fontId="47" fillId="0" borderId="23" xfId="0" applyFont="1" applyBorder="1" applyAlignment="1">
      <alignment vertical="center" wrapText="1"/>
    </xf>
    <xf numFmtId="0" fontId="47" fillId="0" borderId="0" xfId="0" applyFont="1" applyAlignment="1">
      <alignment horizontal="justify" vertical="center"/>
    </xf>
    <xf numFmtId="0" fontId="48" fillId="0" borderId="0" xfId="0" applyFont="1" applyAlignment="1">
      <alignment horizontal="justify" vertical="center"/>
    </xf>
    <xf numFmtId="0" fontId="45" fillId="0" borderId="0" xfId="0" applyFont="1" applyAlignment="1">
      <alignment vertical="center" wrapText="1"/>
    </xf>
    <xf numFmtId="0" fontId="113" fillId="0" borderId="0" xfId="0" applyFont="1" applyAlignment="1">
      <alignment vertical="center" wrapText="1"/>
    </xf>
    <xf numFmtId="0" fontId="23" fillId="0" borderId="23" xfId="0" applyFont="1" applyBorder="1" applyAlignment="1">
      <alignment vertical="center" wrapText="1"/>
    </xf>
    <xf numFmtId="0" fontId="46" fillId="0" borderId="23" xfId="0" applyFont="1" applyBorder="1" applyAlignment="1">
      <alignment vertical="center" wrapText="1"/>
    </xf>
    <xf numFmtId="0" fontId="33" fillId="4" borderId="0" xfId="0" applyFont="1" applyFill="1" applyAlignment="1">
      <alignment vertical="center" wrapText="1"/>
    </xf>
    <xf numFmtId="0" fontId="93" fillId="0" borderId="0" xfId="0" applyFont="1" applyAlignment="1">
      <alignment horizontal="left" vertical="center" wrapText="1"/>
    </xf>
    <xf numFmtId="0" fontId="33" fillId="4" borderId="7" xfId="0" applyFont="1" applyFill="1" applyBorder="1" applyAlignment="1">
      <alignment vertical="center" wrapText="1"/>
    </xf>
    <xf numFmtId="0" fontId="41" fillId="3" borderId="0" xfId="0" applyFont="1" applyFill="1" applyAlignment="1">
      <alignment vertical="center" wrapText="1"/>
    </xf>
    <xf numFmtId="0" fontId="124" fillId="4" borderId="7" xfId="0" applyFont="1" applyFill="1" applyBorder="1" applyAlignment="1">
      <alignment vertical="center" wrapText="1"/>
    </xf>
    <xf numFmtId="0" fontId="41" fillId="0" borderId="0" xfId="0" applyFont="1" applyAlignment="1">
      <alignment horizontal="left" vertical="center" wrapText="1"/>
    </xf>
    <xf numFmtId="0" fontId="140" fillId="0" borderId="0" xfId="0" applyFont="1" applyAlignment="1">
      <alignment vertical="center" wrapText="1"/>
    </xf>
    <xf numFmtId="0" fontId="46" fillId="0" borderId="0" xfId="0" applyFont="1" applyAlignment="1">
      <alignment horizontal="justify" vertical="center"/>
    </xf>
    <xf numFmtId="0" fontId="45" fillId="0" borderId="0" xfId="0" applyFont="1" applyAlignment="1">
      <alignment horizontal="justify" vertical="center"/>
    </xf>
    <xf numFmtId="0" fontId="41" fillId="0" borderId="5" xfId="0" applyFont="1" applyBorder="1" applyAlignment="1">
      <alignment horizontal="justify" vertical="center"/>
    </xf>
    <xf numFmtId="0" fontId="41" fillId="0" borderId="0" xfId="0" applyFont="1" applyAlignment="1">
      <alignment horizontal="justify" vertical="center"/>
    </xf>
    <xf numFmtId="0" fontId="95" fillId="0" borderId="0" xfId="0" applyFont="1" applyAlignment="1">
      <alignment vertical="center" wrapText="1"/>
    </xf>
    <xf numFmtId="0" fontId="18" fillId="0" borderId="7" xfId="0" applyFont="1" applyBorder="1" applyAlignment="1">
      <alignment vertical="center" wrapText="1"/>
    </xf>
    <xf numFmtId="0" fontId="54" fillId="0" borderId="5" xfId="0" applyFont="1" applyBorder="1" applyAlignment="1">
      <alignment horizontal="justify" vertical="center" wrapText="1"/>
    </xf>
    <xf numFmtId="0" fontId="54" fillId="0" borderId="0" xfId="0" applyFont="1" applyAlignment="1">
      <alignment horizontal="justify" vertical="center" wrapText="1"/>
    </xf>
    <xf numFmtId="0" fontId="45" fillId="3" borderId="5" xfId="0" applyFont="1" applyFill="1" applyBorder="1" applyAlignment="1">
      <alignment horizontal="justify" vertical="center"/>
    </xf>
    <xf numFmtId="0" fontId="45" fillId="3" borderId="0" xfId="0" applyFont="1" applyFill="1" applyAlignment="1">
      <alignment horizontal="justify" vertical="center"/>
    </xf>
    <xf numFmtId="0" fontId="45" fillId="0" borderId="0" xfId="0" applyFont="1" applyAlignment="1">
      <alignment horizontal="left" vertical="top" wrapText="1"/>
    </xf>
    <xf numFmtId="0" fontId="46" fillId="0" borderId="5" xfId="0" applyFont="1" applyBorder="1" applyAlignment="1">
      <alignment horizontal="left" vertical="top" wrapText="1"/>
    </xf>
    <xf numFmtId="0" fontId="46" fillId="0" borderId="0" xfId="0" applyFont="1" applyAlignment="1">
      <alignment horizontal="left" vertical="top" wrapText="1"/>
    </xf>
    <xf numFmtId="0" fontId="140" fillId="0" borderId="5" xfId="0" applyFont="1" applyBorder="1" applyAlignment="1">
      <alignment vertical="center" wrapText="1"/>
    </xf>
    <xf numFmtId="0" fontId="21" fillId="0" borderId="0" xfId="0" applyFont="1" applyAlignment="1">
      <alignment vertical="center" wrapText="1"/>
    </xf>
    <xf numFmtId="0" fontId="40" fillId="0" borderId="0" xfId="0" applyFont="1" applyAlignment="1">
      <alignment vertical="center" wrapText="1"/>
    </xf>
    <xf numFmtId="0" fontId="23" fillId="0" borderId="0" xfId="0" applyFont="1" applyAlignment="1">
      <alignment vertical="center" wrapText="1"/>
    </xf>
    <xf numFmtId="0" fontId="46" fillId="0" borderId="0" xfId="0" applyFont="1" applyAlignment="1">
      <alignment horizontal="left" vertical="center" wrapText="1"/>
    </xf>
    <xf numFmtId="0" fontId="140" fillId="0" borderId="0" xfId="0" applyFont="1" applyAlignment="1">
      <alignment horizontal="left" vertical="center" wrapText="1"/>
    </xf>
    <xf numFmtId="0" fontId="30" fillId="0" borderId="0" xfId="0" applyFont="1" applyAlignment="1">
      <alignment vertical="center" wrapText="1"/>
    </xf>
    <xf numFmtId="0" fontId="33" fillId="4" borderId="0" xfId="0" applyFont="1" applyFill="1" applyAlignment="1">
      <alignment vertical="center"/>
    </xf>
    <xf numFmtId="0" fontId="36" fillId="0" borderId="0" xfId="0" applyFont="1" applyAlignment="1">
      <alignment vertical="center" wrapText="1"/>
    </xf>
    <xf numFmtId="0" fontId="118" fillId="32" borderId="2" xfId="0" applyFont="1" applyFill="1" applyBorder="1" applyAlignment="1">
      <alignment vertical="center" wrapText="1"/>
    </xf>
    <xf numFmtId="0" fontId="118" fillId="32" borderId="27" xfId="0" applyFont="1" applyFill="1" applyBorder="1" applyAlignment="1">
      <alignment vertical="center" wrapText="1"/>
    </xf>
    <xf numFmtId="0" fontId="152" fillId="4" borderId="3" xfId="0" applyFont="1" applyFill="1" applyBorder="1" applyAlignment="1">
      <alignment vertical="center"/>
    </xf>
    <xf numFmtId="3" fontId="23" fillId="0" borderId="0" xfId="0" applyNumberFormat="1" applyFont="1" applyAlignment="1">
      <alignment horizontal="left" vertical="center" wrapText="1"/>
    </xf>
    <xf numFmtId="0" fontId="23" fillId="0" borderId="24" xfId="0" applyFont="1" applyBorder="1" applyAlignment="1">
      <alignment vertical="center" wrapText="1"/>
    </xf>
    <xf numFmtId="0" fontId="23" fillId="0" borderId="27" xfId="0" applyFont="1" applyBorder="1" applyAlignment="1">
      <alignment vertical="center" wrapText="1"/>
    </xf>
    <xf numFmtId="0" fontId="23" fillId="0" borderId="26" xfId="0" applyFont="1" applyBorder="1" applyAlignment="1">
      <alignment vertical="center" wrapText="1"/>
    </xf>
  </cellXfs>
  <cellStyles count="137">
    <cellStyle name="]_x000a__x000a_Zoomed=1_x000a__x000a_Row=0_x000a__x000a_Column=0_x000a__x000a_Height=0_x000a__x000a_Width=0_x000a__x000a_FontName=FoxFont_x000a__x000a_FontStyle=0_x000a__x000a_FontSize=9_x000a__x000a_PrtFontName=FoxPrin" xfId="127" xr:uid="{00000000-0005-0000-0000-000000000000}"/>
    <cellStyle name="40% - Акцент1 2" xfId="14" xr:uid="{00000000-0005-0000-0000-000001000000}"/>
    <cellStyle name="Bad 2" xfId="15" xr:uid="{00000000-0005-0000-0000-000002000000}"/>
    <cellStyle name="Calculation 2" xfId="16" xr:uid="{00000000-0005-0000-0000-000003000000}"/>
    <cellStyle name="Check Cell 2" xfId="17" xr:uid="{00000000-0005-0000-0000-000004000000}"/>
    <cellStyle name="Comma 2" xfId="12" xr:uid="{00000000-0005-0000-0000-000005000000}"/>
    <cellStyle name="Explanatory Text 2" xfId="18" xr:uid="{00000000-0005-0000-0000-000006000000}"/>
    <cellStyle name="Good 2" xfId="19" xr:uid="{00000000-0005-0000-0000-000007000000}"/>
    <cellStyle name="Header_1" xfId="20" xr:uid="{00000000-0005-0000-0000-000008000000}"/>
    <cellStyle name="Heading 1 2" xfId="21" xr:uid="{00000000-0005-0000-0000-000009000000}"/>
    <cellStyle name="Heading 2 2" xfId="22" xr:uid="{00000000-0005-0000-0000-00000A000000}"/>
    <cellStyle name="Heading 3 2" xfId="23" xr:uid="{00000000-0005-0000-0000-00000B000000}"/>
    <cellStyle name="Heading 4 2" xfId="24" xr:uid="{00000000-0005-0000-0000-00000C000000}"/>
    <cellStyle name="Input 2" xfId="25" xr:uid="{00000000-0005-0000-0000-00000D000000}"/>
    <cellStyle name="Linked Cell 2" xfId="26" xr:uid="{00000000-0005-0000-0000-00000E000000}"/>
    <cellStyle name="Neutral 2" xfId="27" xr:uid="{00000000-0005-0000-0000-00000F000000}"/>
    <cellStyle name="Normal 2" xfId="1" xr:uid="{00000000-0005-0000-0000-000010000000}"/>
    <cellStyle name="Normal 2 2" xfId="11" xr:uid="{00000000-0005-0000-0000-000011000000}"/>
    <cellStyle name="Normal 3" xfId="28" xr:uid="{00000000-0005-0000-0000-000012000000}"/>
    <cellStyle name="Normal 4" xfId="2" xr:uid="{00000000-0005-0000-0000-000013000000}"/>
    <cellStyle name="Normal 4 2" xfId="29" xr:uid="{00000000-0005-0000-0000-000014000000}"/>
    <cellStyle name="Normal 4 3" xfId="30" xr:uid="{00000000-0005-0000-0000-000015000000}"/>
    <cellStyle name="Normal 6" xfId="31" xr:uid="{00000000-0005-0000-0000-000016000000}"/>
    <cellStyle name="Note 2" xfId="32" xr:uid="{00000000-0005-0000-0000-000017000000}"/>
    <cellStyle name="NotesStyle" xfId="33" xr:uid="{00000000-0005-0000-0000-000018000000}"/>
    <cellStyle name="Output 2" xfId="34" xr:uid="{00000000-0005-0000-0000-000019000000}"/>
    <cellStyle name="Percent 2" xfId="35" xr:uid="{00000000-0005-0000-0000-00001A000000}"/>
    <cellStyle name="SAPBEXaggData" xfId="36" xr:uid="{00000000-0005-0000-0000-00001B000000}"/>
    <cellStyle name="SAPBEXaggDataEmph" xfId="37" xr:uid="{00000000-0005-0000-0000-00001C000000}"/>
    <cellStyle name="SAPBEXaggItem" xfId="38" xr:uid="{00000000-0005-0000-0000-00001D000000}"/>
    <cellStyle name="SAPBEXaggItemX" xfId="39" xr:uid="{00000000-0005-0000-0000-00001E000000}"/>
    <cellStyle name="SAPBEXchaText" xfId="40" xr:uid="{00000000-0005-0000-0000-00001F000000}"/>
    <cellStyle name="SAPBEXexcBad7" xfId="41" xr:uid="{00000000-0005-0000-0000-000020000000}"/>
    <cellStyle name="SAPBEXexcBad8" xfId="42" xr:uid="{00000000-0005-0000-0000-000021000000}"/>
    <cellStyle name="SAPBEXexcBad9" xfId="43" xr:uid="{00000000-0005-0000-0000-000022000000}"/>
    <cellStyle name="SAPBEXexcCritical4" xfId="44" xr:uid="{00000000-0005-0000-0000-000023000000}"/>
    <cellStyle name="SAPBEXexcCritical5" xfId="45" xr:uid="{00000000-0005-0000-0000-000024000000}"/>
    <cellStyle name="SAPBEXexcCritical6" xfId="46" xr:uid="{00000000-0005-0000-0000-000025000000}"/>
    <cellStyle name="SAPBEXexcGood1" xfId="47" xr:uid="{00000000-0005-0000-0000-000026000000}"/>
    <cellStyle name="SAPBEXexcGood2" xfId="48" xr:uid="{00000000-0005-0000-0000-000027000000}"/>
    <cellStyle name="SAPBEXexcGood3" xfId="49" xr:uid="{00000000-0005-0000-0000-000028000000}"/>
    <cellStyle name="SAPBEXfilterDrill" xfId="50" xr:uid="{00000000-0005-0000-0000-000029000000}"/>
    <cellStyle name="SAPBEXfilterItem" xfId="51" xr:uid="{00000000-0005-0000-0000-00002A000000}"/>
    <cellStyle name="SAPBEXfilterText" xfId="52" xr:uid="{00000000-0005-0000-0000-00002B000000}"/>
    <cellStyle name="SAPBEXformats" xfId="53" xr:uid="{00000000-0005-0000-0000-00002C000000}"/>
    <cellStyle name="SAPBEXheaderItem" xfId="54" xr:uid="{00000000-0005-0000-0000-00002D000000}"/>
    <cellStyle name="SAPBEXheaderText" xfId="55" xr:uid="{00000000-0005-0000-0000-00002E000000}"/>
    <cellStyle name="SAPBEXHLevel0" xfId="56" xr:uid="{00000000-0005-0000-0000-00002F000000}"/>
    <cellStyle name="SAPBEXHLevel0X" xfId="57" xr:uid="{00000000-0005-0000-0000-000030000000}"/>
    <cellStyle name="SAPBEXHLevel1" xfId="58" xr:uid="{00000000-0005-0000-0000-000031000000}"/>
    <cellStyle name="SAPBEXHLevel1X" xfId="59" xr:uid="{00000000-0005-0000-0000-000032000000}"/>
    <cellStyle name="SAPBEXHLevel2" xfId="60" xr:uid="{00000000-0005-0000-0000-000033000000}"/>
    <cellStyle name="SAPBEXHLevel2X" xfId="61" xr:uid="{00000000-0005-0000-0000-000034000000}"/>
    <cellStyle name="SAPBEXHLevel3" xfId="62" xr:uid="{00000000-0005-0000-0000-000035000000}"/>
    <cellStyle name="SAPBEXHLevel3X" xfId="63" xr:uid="{00000000-0005-0000-0000-000036000000}"/>
    <cellStyle name="SAPBEXinputData" xfId="64" xr:uid="{00000000-0005-0000-0000-000037000000}"/>
    <cellStyle name="SAPBEXresData" xfId="65" xr:uid="{00000000-0005-0000-0000-000038000000}"/>
    <cellStyle name="SAPBEXresDataEmph" xfId="66" xr:uid="{00000000-0005-0000-0000-000039000000}"/>
    <cellStyle name="SAPBEXresItem" xfId="67" xr:uid="{00000000-0005-0000-0000-00003A000000}"/>
    <cellStyle name="SAPBEXresItemX" xfId="68" xr:uid="{00000000-0005-0000-0000-00003B000000}"/>
    <cellStyle name="SAPBEXstdData" xfId="69" xr:uid="{00000000-0005-0000-0000-00003C000000}"/>
    <cellStyle name="SAPBEXstdData 2" xfId="70" xr:uid="{00000000-0005-0000-0000-00003D000000}"/>
    <cellStyle name="SAPBEXstdDataEmph" xfId="71" xr:uid="{00000000-0005-0000-0000-00003E000000}"/>
    <cellStyle name="SAPBEXstdItem" xfId="72" xr:uid="{00000000-0005-0000-0000-00003F000000}"/>
    <cellStyle name="SAPBEXstdItemX" xfId="73" xr:uid="{00000000-0005-0000-0000-000040000000}"/>
    <cellStyle name="SAPBEXtitle" xfId="74" xr:uid="{00000000-0005-0000-0000-000041000000}"/>
    <cellStyle name="SAPBEXundefined" xfId="75" xr:uid="{00000000-0005-0000-0000-000042000000}"/>
    <cellStyle name="Title 2" xfId="76" xr:uid="{00000000-0005-0000-0000-000043000000}"/>
    <cellStyle name="Total 2" xfId="77" xr:uid="{00000000-0005-0000-0000-000044000000}"/>
    <cellStyle name="Warning Text 2" xfId="78" xr:uid="{00000000-0005-0000-0000-000045000000}"/>
    <cellStyle name="Ввод  2" xfId="79" xr:uid="{00000000-0005-0000-0000-000046000000}"/>
    <cellStyle name="Вывод 2" xfId="80" xr:uid="{00000000-0005-0000-0000-000047000000}"/>
    <cellStyle name="Вычисление 2" xfId="81" xr:uid="{00000000-0005-0000-0000-000048000000}"/>
    <cellStyle name="Гиперссылка" xfId="7" builtinId="8"/>
    <cellStyle name="Гиперссылка 2" xfId="133" xr:uid="{00000000-0005-0000-0000-00004A000000}"/>
    <cellStyle name="Итог 2" xfId="82" xr:uid="{00000000-0005-0000-0000-00004B000000}"/>
    <cellStyle name="Название 2" xfId="132" xr:uid="{00000000-0005-0000-0000-00004C000000}"/>
    <cellStyle name="Обычный" xfId="0" builtinId="0"/>
    <cellStyle name="Обычный 10" xfId="134" xr:uid="{00000000-0005-0000-0000-00004E000000}"/>
    <cellStyle name="Обычный 13" xfId="83" xr:uid="{00000000-0005-0000-0000-00004F000000}"/>
    <cellStyle name="Обычный 14" xfId="84" xr:uid="{00000000-0005-0000-0000-000050000000}"/>
    <cellStyle name="Обычный 18" xfId="85" xr:uid="{00000000-0005-0000-0000-000051000000}"/>
    <cellStyle name="Обычный 2" xfId="3" xr:uid="{00000000-0005-0000-0000-000052000000}"/>
    <cellStyle name="Обычный 2 2" xfId="4" xr:uid="{00000000-0005-0000-0000-000053000000}"/>
    <cellStyle name="Обычный 2 2 4" xfId="128" xr:uid="{00000000-0005-0000-0000-000054000000}"/>
    <cellStyle name="Обычный 2 3" xfId="131" xr:uid="{00000000-0005-0000-0000-000055000000}"/>
    <cellStyle name="Обычный 20" xfId="86" xr:uid="{00000000-0005-0000-0000-000056000000}"/>
    <cellStyle name="Обычный 22" xfId="87" xr:uid="{00000000-0005-0000-0000-000057000000}"/>
    <cellStyle name="Обычный 23" xfId="88" xr:uid="{00000000-0005-0000-0000-000058000000}"/>
    <cellStyle name="Обычный 24" xfId="89" xr:uid="{00000000-0005-0000-0000-000059000000}"/>
    <cellStyle name="Обычный 25" xfId="90" xr:uid="{00000000-0005-0000-0000-00005A000000}"/>
    <cellStyle name="Обычный 26" xfId="91" xr:uid="{00000000-0005-0000-0000-00005B000000}"/>
    <cellStyle name="Обычный 27" xfId="92" xr:uid="{00000000-0005-0000-0000-00005C000000}"/>
    <cellStyle name="Обычный 28" xfId="93" xr:uid="{00000000-0005-0000-0000-00005D000000}"/>
    <cellStyle name="Обычный 3" xfId="10" xr:uid="{00000000-0005-0000-0000-00005E000000}"/>
    <cellStyle name="Обычный 3 2" xfId="94" xr:uid="{00000000-0005-0000-0000-00005F000000}"/>
    <cellStyle name="Обычный 34" xfId="95" xr:uid="{00000000-0005-0000-0000-000060000000}"/>
    <cellStyle name="Обычный 35" xfId="96" xr:uid="{00000000-0005-0000-0000-000061000000}"/>
    <cellStyle name="Обычный 36" xfId="97" xr:uid="{00000000-0005-0000-0000-000062000000}"/>
    <cellStyle name="Обычный 37" xfId="98" xr:uid="{00000000-0005-0000-0000-000063000000}"/>
    <cellStyle name="Обычный 38" xfId="99" xr:uid="{00000000-0005-0000-0000-000064000000}"/>
    <cellStyle name="Обычный 39" xfId="100" xr:uid="{00000000-0005-0000-0000-000065000000}"/>
    <cellStyle name="Обычный 4" xfId="13" xr:uid="{00000000-0005-0000-0000-000066000000}"/>
    <cellStyle name="Обычный 4 2" xfId="101" xr:uid="{00000000-0005-0000-0000-000067000000}"/>
    <cellStyle name="Обычный 4 3" xfId="102" xr:uid="{00000000-0005-0000-0000-000068000000}"/>
    <cellStyle name="Обычный 4 4" xfId="103" xr:uid="{00000000-0005-0000-0000-000069000000}"/>
    <cellStyle name="Обычный 4 5" xfId="135" xr:uid="{00000000-0005-0000-0000-00006A000000}"/>
    <cellStyle name="Обычный 4 6" xfId="136" xr:uid="{00000000-0005-0000-0000-00006B000000}"/>
    <cellStyle name="Обычный 40" xfId="104" xr:uid="{00000000-0005-0000-0000-00006C000000}"/>
    <cellStyle name="Обычный 41" xfId="105" xr:uid="{00000000-0005-0000-0000-00006D000000}"/>
    <cellStyle name="Обычный 42" xfId="106" xr:uid="{00000000-0005-0000-0000-00006E000000}"/>
    <cellStyle name="Обычный 43" xfId="107" xr:uid="{00000000-0005-0000-0000-00006F000000}"/>
    <cellStyle name="Обычный 5" xfId="108" xr:uid="{00000000-0005-0000-0000-000070000000}"/>
    <cellStyle name="Обычный 5 2" xfId="109" xr:uid="{00000000-0005-0000-0000-000071000000}"/>
    <cellStyle name="Обычный 5 2 2" xfId="110" xr:uid="{00000000-0005-0000-0000-000072000000}"/>
    <cellStyle name="Обычный 5 2 2 2" xfId="111" xr:uid="{00000000-0005-0000-0000-000073000000}"/>
    <cellStyle name="Обычный 5 2 2 3" xfId="112" xr:uid="{00000000-0005-0000-0000-000074000000}"/>
    <cellStyle name="Обычный 5 2 3" xfId="113" xr:uid="{00000000-0005-0000-0000-000075000000}"/>
    <cellStyle name="Обычный 5 2 4" xfId="114" xr:uid="{00000000-0005-0000-0000-000076000000}"/>
    <cellStyle name="Обычный 5 3" xfId="115" xr:uid="{00000000-0005-0000-0000-000077000000}"/>
    <cellStyle name="Обычный 5 3 2" xfId="116" xr:uid="{00000000-0005-0000-0000-000078000000}"/>
    <cellStyle name="Обычный 5 3 3" xfId="117" xr:uid="{00000000-0005-0000-0000-000079000000}"/>
    <cellStyle name="Обычный 5 4" xfId="118" xr:uid="{00000000-0005-0000-0000-00007A000000}"/>
    <cellStyle name="Обычный 5 5" xfId="119" xr:uid="{00000000-0005-0000-0000-00007B000000}"/>
    <cellStyle name="Обычный 6" xfId="120" xr:uid="{00000000-0005-0000-0000-00007C000000}"/>
    <cellStyle name="Обычный 6 2 2" xfId="5" xr:uid="{00000000-0005-0000-0000-00007D000000}"/>
    <cellStyle name="Обычный 7" xfId="121" xr:uid="{00000000-0005-0000-0000-00007E000000}"/>
    <cellStyle name="Обычный 7 2" xfId="122" xr:uid="{00000000-0005-0000-0000-00007F000000}"/>
    <cellStyle name="Обычный 7 2 2" xfId="123" xr:uid="{00000000-0005-0000-0000-000080000000}"/>
    <cellStyle name="Обычный 8" xfId="124" xr:uid="{00000000-0005-0000-0000-000081000000}"/>
    <cellStyle name="Обычный 9" xfId="125" xr:uid="{00000000-0005-0000-0000-000082000000}"/>
    <cellStyle name="Примечание 2" xfId="126" xr:uid="{00000000-0005-0000-0000-000083000000}"/>
    <cellStyle name="Процентный 2" xfId="8" xr:uid="{00000000-0005-0000-0000-000084000000}"/>
    <cellStyle name="Финансовый" xfId="129" builtinId="3"/>
    <cellStyle name="Финансовый 2" xfId="9" xr:uid="{00000000-0005-0000-0000-000086000000}"/>
    <cellStyle name="Финансовый 2 2" xfId="130" xr:uid="{00000000-0005-0000-0000-000087000000}"/>
    <cellStyle name="Финансовый 3" xfId="6" xr:uid="{00000000-0005-0000-0000-000088000000}"/>
  </cellStyles>
  <dxfs count="3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2CC"/>
      <color rgb="FFFCD4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xdr:rowOff>
    </xdr:from>
    <xdr:to>
      <xdr:col>0</xdr:col>
      <xdr:colOff>195146</xdr:colOff>
      <xdr:row>1</xdr:row>
      <xdr:rowOff>261625</xdr:rowOff>
    </xdr:to>
    <xdr:pic>
      <xdr:nvPicPr>
        <xdr:cNvPr id="4" name="Рисунок 3">
          <a:extLst>
            <a:ext uri="{FF2B5EF4-FFF2-40B4-BE49-F238E27FC236}">
              <a16:creationId xmlns:a16="http://schemas.microsoft.com/office/drawing/2014/main" id="{F95BF1D1-4FE9-4132-9B00-295E7BB8BDF8}"/>
            </a:ext>
          </a:extLst>
        </xdr:cNvPr>
        <xdr:cNvPicPr>
          <a:picLocks noChangeAspect="1"/>
        </xdr:cNvPicPr>
      </xdr:nvPicPr>
      <xdr:blipFill rotWithShape="1">
        <a:blip xmlns:r="http://schemas.openxmlformats.org/officeDocument/2006/relationships" r:embed="rId1"/>
        <a:srcRect l="2009" t="2674" r="6223"/>
        <a:stretch/>
      </xdr:blipFill>
      <xdr:spPr>
        <a:xfrm>
          <a:off x="0" y="199794"/>
          <a:ext cx="195146" cy="2616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7936</xdr:colOff>
      <xdr:row>0</xdr:row>
      <xdr:rowOff>0</xdr:rowOff>
    </xdr:from>
    <xdr:to>
      <xdr:col>0</xdr:col>
      <xdr:colOff>204753</xdr:colOff>
      <xdr:row>0</xdr:row>
      <xdr:rowOff>261257</xdr:rowOff>
    </xdr:to>
    <xdr:pic>
      <xdr:nvPicPr>
        <xdr:cNvPr id="4" name="Рисунок 3">
          <a:extLst>
            <a:ext uri="{FF2B5EF4-FFF2-40B4-BE49-F238E27FC236}">
              <a16:creationId xmlns:a16="http://schemas.microsoft.com/office/drawing/2014/main" id="{F0C279DF-29A9-4D5F-8756-A1AA819288C9}"/>
            </a:ext>
          </a:extLst>
        </xdr:cNvPr>
        <xdr:cNvPicPr>
          <a:picLocks noChangeAspect="1"/>
        </xdr:cNvPicPr>
      </xdr:nvPicPr>
      <xdr:blipFill rotWithShape="1">
        <a:blip xmlns:r="http://schemas.openxmlformats.org/officeDocument/2006/relationships" r:embed="rId1"/>
        <a:srcRect l="2009" t="2674" r="6223"/>
        <a:stretch/>
      </xdr:blipFill>
      <xdr:spPr>
        <a:xfrm>
          <a:off x="7936" y="0"/>
          <a:ext cx="196817" cy="26125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11906</xdr:colOff>
      <xdr:row>0</xdr:row>
      <xdr:rowOff>0</xdr:rowOff>
    </xdr:from>
    <xdr:to>
      <xdr:col>0</xdr:col>
      <xdr:colOff>250032</xdr:colOff>
      <xdr:row>1</xdr:row>
      <xdr:rowOff>6780</xdr:rowOff>
    </xdr:to>
    <xdr:pic>
      <xdr:nvPicPr>
        <xdr:cNvPr id="4" name="Рисунок 3">
          <a:extLst>
            <a:ext uri="{FF2B5EF4-FFF2-40B4-BE49-F238E27FC236}">
              <a16:creationId xmlns:a16="http://schemas.microsoft.com/office/drawing/2014/main" id="{058672B2-C29F-4143-BFE3-0006839AEA00}"/>
            </a:ext>
          </a:extLst>
        </xdr:cNvPr>
        <xdr:cNvPicPr>
          <a:picLocks noChangeAspect="1"/>
        </xdr:cNvPicPr>
      </xdr:nvPicPr>
      <xdr:blipFill rotWithShape="1">
        <a:blip xmlns:r="http://schemas.openxmlformats.org/officeDocument/2006/relationships" r:embed="rId1"/>
        <a:srcRect l="2009" t="2674" r="6223"/>
        <a:stretch/>
      </xdr:blipFill>
      <xdr:spPr>
        <a:xfrm>
          <a:off x="11906" y="0"/>
          <a:ext cx="238126" cy="31634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0</xdr:col>
      <xdr:colOff>247651</xdr:colOff>
      <xdr:row>0</xdr:row>
      <xdr:rowOff>316343</xdr:rowOff>
    </xdr:to>
    <xdr:pic>
      <xdr:nvPicPr>
        <xdr:cNvPr id="4" name="Рисунок 3">
          <a:extLst>
            <a:ext uri="{FF2B5EF4-FFF2-40B4-BE49-F238E27FC236}">
              <a16:creationId xmlns:a16="http://schemas.microsoft.com/office/drawing/2014/main" id="{3FACB1C0-7A2E-4B7F-8B4B-89B2641549F6}"/>
            </a:ext>
          </a:extLst>
        </xdr:cNvPr>
        <xdr:cNvPicPr>
          <a:picLocks noChangeAspect="1"/>
        </xdr:cNvPicPr>
      </xdr:nvPicPr>
      <xdr:blipFill rotWithShape="1">
        <a:blip xmlns:r="http://schemas.openxmlformats.org/officeDocument/2006/relationships" r:embed="rId1"/>
        <a:srcRect l="2009" t="2674" r="6223"/>
        <a:stretch/>
      </xdr:blipFill>
      <xdr:spPr>
        <a:xfrm>
          <a:off x="9525" y="0"/>
          <a:ext cx="238126" cy="31634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12382</xdr:colOff>
      <xdr:row>0</xdr:row>
      <xdr:rowOff>0</xdr:rowOff>
    </xdr:from>
    <xdr:to>
      <xdr:col>0</xdr:col>
      <xdr:colOff>224580</xdr:colOff>
      <xdr:row>0</xdr:row>
      <xdr:rowOff>277654</xdr:rowOff>
    </xdr:to>
    <xdr:pic>
      <xdr:nvPicPr>
        <xdr:cNvPr id="4" name="Рисунок 3">
          <a:extLst>
            <a:ext uri="{FF2B5EF4-FFF2-40B4-BE49-F238E27FC236}">
              <a16:creationId xmlns:a16="http://schemas.microsoft.com/office/drawing/2014/main" id="{913AEE42-114A-480C-B4ED-EC5B228E2B5C}"/>
            </a:ext>
          </a:extLst>
        </xdr:cNvPr>
        <xdr:cNvPicPr>
          <a:picLocks noChangeAspect="1"/>
        </xdr:cNvPicPr>
      </xdr:nvPicPr>
      <xdr:blipFill rotWithShape="1">
        <a:blip xmlns:r="http://schemas.openxmlformats.org/officeDocument/2006/relationships" r:embed="rId1"/>
        <a:srcRect l="2009" t="2674" r="6223"/>
        <a:stretch/>
      </xdr:blipFill>
      <xdr:spPr>
        <a:xfrm>
          <a:off x="12382" y="0"/>
          <a:ext cx="212198" cy="27765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217357</xdr:colOff>
      <xdr:row>0</xdr:row>
      <xdr:rowOff>286429</xdr:rowOff>
    </xdr:to>
    <xdr:pic>
      <xdr:nvPicPr>
        <xdr:cNvPr id="4" name="Рисунок 3">
          <a:extLst>
            <a:ext uri="{FF2B5EF4-FFF2-40B4-BE49-F238E27FC236}">
              <a16:creationId xmlns:a16="http://schemas.microsoft.com/office/drawing/2014/main" id="{541C9ABB-9958-4633-8FA8-14991082A97A}"/>
            </a:ext>
          </a:extLst>
        </xdr:cNvPr>
        <xdr:cNvPicPr>
          <a:picLocks noChangeAspect="1"/>
        </xdr:cNvPicPr>
      </xdr:nvPicPr>
      <xdr:blipFill rotWithShape="1">
        <a:blip xmlns:r="http://schemas.openxmlformats.org/officeDocument/2006/relationships" r:embed="rId1"/>
        <a:srcRect l="2009" t="2674" r="6223"/>
        <a:stretch/>
      </xdr:blipFill>
      <xdr:spPr>
        <a:xfrm>
          <a:off x="0" y="0"/>
          <a:ext cx="217357" cy="2864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12</xdr:col>
      <xdr:colOff>0</xdr:colOff>
      <xdr:row>11</xdr:row>
      <xdr:rowOff>0</xdr:rowOff>
    </xdr:from>
    <xdr:to>
      <xdr:col>12</xdr:col>
      <xdr:colOff>304800</xdr:colOff>
      <xdr:row>12</xdr:row>
      <xdr:rowOff>99822</xdr:rowOff>
    </xdr:to>
    <xdr:sp macro="" textlink="">
      <xdr:nvSpPr>
        <xdr:cNvPr id="2" name="&lt;image002.jpg@01D7E825.74E64140&gt;" descr="image002.jpg">
          <a:extLst>
            <a:ext uri="{FF2B5EF4-FFF2-40B4-BE49-F238E27FC236}">
              <a16:creationId xmlns:a16="http://schemas.microsoft.com/office/drawing/2014/main" id="{215EC009-4206-B349-840E-749559695834}"/>
            </a:ext>
          </a:extLst>
        </xdr:cNvPr>
        <xdr:cNvSpPr>
          <a:spLocks noChangeAspect="1" noChangeArrowheads="1"/>
        </xdr:cNvSpPr>
      </xdr:nvSpPr>
      <xdr:spPr bwMode="auto">
        <a:xfrm>
          <a:off x="12700000" y="3086100"/>
          <a:ext cx="304800" cy="30302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8107</xdr:colOff>
      <xdr:row>0</xdr:row>
      <xdr:rowOff>0</xdr:rowOff>
    </xdr:from>
    <xdr:to>
      <xdr:col>0</xdr:col>
      <xdr:colOff>246233</xdr:colOff>
      <xdr:row>0</xdr:row>
      <xdr:rowOff>316343</xdr:rowOff>
    </xdr:to>
    <xdr:pic>
      <xdr:nvPicPr>
        <xdr:cNvPr id="5" name="Рисунок 4">
          <a:extLst>
            <a:ext uri="{FF2B5EF4-FFF2-40B4-BE49-F238E27FC236}">
              <a16:creationId xmlns:a16="http://schemas.microsoft.com/office/drawing/2014/main" id="{FF7C3CDD-8DE5-4BD0-95F5-BA80E413FF49}"/>
            </a:ext>
          </a:extLst>
        </xdr:cNvPr>
        <xdr:cNvPicPr>
          <a:picLocks noChangeAspect="1"/>
        </xdr:cNvPicPr>
      </xdr:nvPicPr>
      <xdr:blipFill rotWithShape="1">
        <a:blip xmlns:r="http://schemas.openxmlformats.org/officeDocument/2006/relationships" r:embed="rId1"/>
        <a:srcRect l="2009" t="2674" r="6223"/>
        <a:stretch/>
      </xdr:blipFill>
      <xdr:spPr>
        <a:xfrm>
          <a:off x="8107" y="0"/>
          <a:ext cx="238126" cy="31634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7189</xdr:colOff>
      <xdr:row>0</xdr:row>
      <xdr:rowOff>0</xdr:rowOff>
    </xdr:from>
    <xdr:to>
      <xdr:col>0</xdr:col>
      <xdr:colOff>230038</xdr:colOff>
      <xdr:row>1</xdr:row>
      <xdr:rowOff>1962</xdr:rowOff>
    </xdr:to>
    <xdr:pic>
      <xdr:nvPicPr>
        <xdr:cNvPr id="5" name="Рисунок 4">
          <a:extLst>
            <a:ext uri="{FF2B5EF4-FFF2-40B4-BE49-F238E27FC236}">
              <a16:creationId xmlns:a16="http://schemas.microsoft.com/office/drawing/2014/main" id="{7741E436-A6F2-4283-B154-1B27E1A1B550}"/>
            </a:ext>
          </a:extLst>
        </xdr:cNvPr>
        <xdr:cNvPicPr>
          <a:picLocks noChangeAspect="1"/>
        </xdr:cNvPicPr>
      </xdr:nvPicPr>
      <xdr:blipFill rotWithShape="1">
        <a:blip xmlns:r="http://schemas.openxmlformats.org/officeDocument/2006/relationships" r:embed="rId1"/>
        <a:srcRect l="2009" t="2674" r="6223"/>
        <a:stretch/>
      </xdr:blipFill>
      <xdr:spPr>
        <a:xfrm>
          <a:off x="7189" y="0"/>
          <a:ext cx="222849" cy="29331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0</xdr:col>
      <xdr:colOff>220266</xdr:colOff>
      <xdr:row>1</xdr:row>
      <xdr:rowOff>1264</xdr:rowOff>
    </xdr:to>
    <xdr:pic>
      <xdr:nvPicPr>
        <xdr:cNvPr id="3" name="Рисунок 2">
          <a:extLst>
            <a:ext uri="{FF2B5EF4-FFF2-40B4-BE49-F238E27FC236}">
              <a16:creationId xmlns:a16="http://schemas.microsoft.com/office/drawing/2014/main" id="{36021503-961D-4185-891E-1F90BD7AAC49}"/>
            </a:ext>
          </a:extLst>
        </xdr:cNvPr>
        <xdr:cNvPicPr>
          <a:picLocks noChangeAspect="1"/>
        </xdr:cNvPicPr>
      </xdr:nvPicPr>
      <xdr:blipFill rotWithShape="1">
        <a:blip xmlns:r="http://schemas.openxmlformats.org/officeDocument/2006/relationships" r:embed="rId1"/>
        <a:srcRect l="2009" t="2674" r="6223"/>
        <a:stretch/>
      </xdr:blipFill>
      <xdr:spPr>
        <a:xfrm>
          <a:off x="0" y="1"/>
          <a:ext cx="220266" cy="29261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8107</xdr:colOff>
      <xdr:row>0</xdr:row>
      <xdr:rowOff>0</xdr:rowOff>
    </xdr:from>
    <xdr:to>
      <xdr:col>0</xdr:col>
      <xdr:colOff>222926</xdr:colOff>
      <xdr:row>0</xdr:row>
      <xdr:rowOff>282739</xdr:rowOff>
    </xdr:to>
    <xdr:pic>
      <xdr:nvPicPr>
        <xdr:cNvPr id="4" name="Рисунок 3">
          <a:extLst>
            <a:ext uri="{FF2B5EF4-FFF2-40B4-BE49-F238E27FC236}">
              <a16:creationId xmlns:a16="http://schemas.microsoft.com/office/drawing/2014/main" id="{F6AC4201-F01C-4EF1-8DFF-BC9A7A11D52F}"/>
            </a:ext>
          </a:extLst>
        </xdr:cNvPr>
        <xdr:cNvPicPr>
          <a:picLocks noChangeAspect="1"/>
        </xdr:cNvPicPr>
      </xdr:nvPicPr>
      <xdr:blipFill rotWithShape="1">
        <a:blip xmlns:r="http://schemas.openxmlformats.org/officeDocument/2006/relationships" r:embed="rId1"/>
        <a:srcRect l="2009" t="2674" r="6223"/>
        <a:stretch/>
      </xdr:blipFill>
      <xdr:spPr>
        <a:xfrm>
          <a:off x="8107" y="0"/>
          <a:ext cx="214819" cy="28273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18761</xdr:colOff>
      <xdr:row>0</xdr:row>
      <xdr:rowOff>24924</xdr:rowOff>
    </xdr:from>
    <xdr:to>
      <xdr:col>0</xdr:col>
      <xdr:colOff>203489</xdr:colOff>
      <xdr:row>0</xdr:row>
      <xdr:rowOff>270330</xdr:rowOff>
    </xdr:to>
    <xdr:pic>
      <xdr:nvPicPr>
        <xdr:cNvPr id="4" name="Рисунок 3">
          <a:extLst>
            <a:ext uri="{FF2B5EF4-FFF2-40B4-BE49-F238E27FC236}">
              <a16:creationId xmlns:a16="http://schemas.microsoft.com/office/drawing/2014/main" id="{60245418-2DCC-4F0D-9EF5-C8993F3F4409}"/>
            </a:ext>
          </a:extLst>
        </xdr:cNvPr>
        <xdr:cNvPicPr>
          <a:picLocks noChangeAspect="1"/>
        </xdr:cNvPicPr>
      </xdr:nvPicPr>
      <xdr:blipFill rotWithShape="1">
        <a:blip xmlns:r="http://schemas.openxmlformats.org/officeDocument/2006/relationships" r:embed="rId1"/>
        <a:srcRect l="2009" t="2674" r="6223"/>
        <a:stretch/>
      </xdr:blipFill>
      <xdr:spPr>
        <a:xfrm>
          <a:off x="18761" y="24924"/>
          <a:ext cx="184728" cy="245406"/>
        </a:xfrm>
        <a:prstGeom prst="rect">
          <a:avLst/>
        </a:prstGeom>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L42"/>
  <sheetViews>
    <sheetView zoomScale="55" zoomScaleNormal="55" workbookViewId="0">
      <selection activeCell="B38" sqref="B38"/>
    </sheetView>
  </sheetViews>
  <sheetFormatPr defaultColWidth="11" defaultRowHeight="15.75"/>
  <cols>
    <col min="1" max="1" width="31.25" customWidth="1"/>
    <col min="2" max="2" width="43.5" customWidth="1"/>
  </cols>
  <sheetData>
    <row r="2" spans="1:2" ht="21" customHeight="1">
      <c r="A2" s="301" t="s">
        <v>0</v>
      </c>
      <c r="B2" s="301" t="s">
        <v>1</v>
      </c>
    </row>
    <row r="3" spans="1:2" ht="21" customHeight="1">
      <c r="A3" s="378" t="s">
        <v>2</v>
      </c>
    </row>
    <row r="4" spans="1:2">
      <c r="A4" s="12" t="s">
        <v>3</v>
      </c>
    </row>
    <row r="5" spans="1:2">
      <c r="A5" s="85" t="s">
        <v>4</v>
      </c>
    </row>
    <row r="6" spans="1:2">
      <c r="A6" s="85" t="s">
        <v>5</v>
      </c>
    </row>
    <row r="7" spans="1:2">
      <c r="A7" s="12" t="s">
        <v>6</v>
      </c>
    </row>
    <row r="8" spans="1:2">
      <c r="A8" s="86" t="s">
        <v>842</v>
      </c>
      <c r="B8" s="800"/>
    </row>
    <row r="9" spans="1:2">
      <c r="A9" s="86" t="s">
        <v>7</v>
      </c>
    </row>
    <row r="10" spans="1:2">
      <c r="A10" s="86" t="s">
        <v>8</v>
      </c>
    </row>
    <row r="11" spans="1:2">
      <c r="A11" s="86" t="s">
        <v>9</v>
      </c>
    </row>
    <row r="12" spans="1:2">
      <c r="A12" s="85" t="s">
        <v>10</v>
      </c>
    </row>
    <row r="13" spans="1:2">
      <c r="A13" s="12" t="s">
        <v>11</v>
      </c>
    </row>
    <row r="14" spans="1:2">
      <c r="A14" s="86" t="s">
        <v>12</v>
      </c>
    </row>
    <row r="15" spans="1:2">
      <c r="A15" s="85" t="s">
        <v>13</v>
      </c>
    </row>
    <row r="16" spans="1:2">
      <c r="A16" s="12" t="s">
        <v>14</v>
      </c>
    </row>
    <row r="17" spans="1:12">
      <c r="A17" s="86" t="s">
        <v>15</v>
      </c>
    </row>
    <row r="19" spans="1:12" ht="18.75">
      <c r="A19" s="378" t="s">
        <v>16</v>
      </c>
    </row>
    <row r="20" spans="1:12" ht="18.75">
      <c r="A20" s="704" t="s">
        <v>17</v>
      </c>
      <c r="B20" s="6"/>
      <c r="C20" s="6"/>
      <c r="D20" s="6"/>
      <c r="E20" s="6"/>
      <c r="F20" s="6"/>
      <c r="G20" s="6"/>
      <c r="H20" s="6"/>
      <c r="I20" s="6"/>
      <c r="J20" s="6"/>
      <c r="K20" s="6"/>
      <c r="L20" s="6"/>
    </row>
    <row r="22" spans="1:12">
      <c r="A22" s="631" t="s">
        <v>18</v>
      </c>
    </row>
    <row r="23" spans="1:12" ht="29.25" customHeight="1">
      <c r="A23" s="631" t="s">
        <v>19</v>
      </c>
    </row>
    <row r="24" spans="1:12">
      <c r="A24" s="7" t="s">
        <v>20</v>
      </c>
    </row>
    <row r="25" spans="1:12">
      <c r="A25" t="s">
        <v>21</v>
      </c>
      <c r="B25" t="s">
        <v>22</v>
      </c>
    </row>
    <row r="26" spans="1:12">
      <c r="A26" t="s">
        <v>23</v>
      </c>
      <c r="B26" t="s">
        <v>24</v>
      </c>
    </row>
    <row r="27" spans="1:12">
      <c r="A27" t="s">
        <v>25</v>
      </c>
      <c r="B27" t="s">
        <v>26</v>
      </c>
    </row>
    <row r="28" spans="1:12">
      <c r="A28" s="306" t="s">
        <v>27</v>
      </c>
      <c r="B28" s="306" t="s">
        <v>28</v>
      </c>
    </row>
    <row r="29" spans="1:12">
      <c r="A29" t="s">
        <v>29</v>
      </c>
      <c r="B29" t="s">
        <v>30</v>
      </c>
    </row>
    <row r="30" spans="1:12">
      <c r="A30" s="306" t="s">
        <v>786</v>
      </c>
      <c r="B30" s="306" t="s">
        <v>787</v>
      </c>
    </row>
    <row r="31" spans="1:12">
      <c r="A31" s="306" t="s">
        <v>31</v>
      </c>
      <c r="B31" s="306" t="s">
        <v>32</v>
      </c>
      <c r="C31" s="306"/>
      <c r="D31" s="306"/>
      <c r="E31" s="306"/>
      <c r="F31" s="306"/>
      <c r="G31" s="306"/>
      <c r="H31" s="306"/>
    </row>
    <row r="32" spans="1:12">
      <c r="A32" s="306" t="s">
        <v>33</v>
      </c>
      <c r="B32" s="306" t="s">
        <v>34</v>
      </c>
      <c r="C32" s="306"/>
      <c r="D32" s="306"/>
      <c r="E32" s="306"/>
      <c r="F32" s="306"/>
      <c r="G32" s="306"/>
      <c r="H32" s="306"/>
    </row>
    <row r="33" spans="1:8">
      <c r="A33" s="306" t="s">
        <v>35</v>
      </c>
      <c r="B33" s="306" t="s">
        <v>36</v>
      </c>
      <c r="C33" s="306"/>
      <c r="D33" s="306"/>
      <c r="E33" s="306"/>
      <c r="F33" s="306"/>
      <c r="G33" s="306"/>
      <c r="H33" s="306"/>
    </row>
    <row r="34" spans="1:8">
      <c r="A34" s="7" t="s">
        <v>37</v>
      </c>
    </row>
    <row r="35" spans="1:8">
      <c r="A35" t="s">
        <v>38</v>
      </c>
      <c r="B35" t="s">
        <v>39</v>
      </c>
    </row>
    <row r="36" spans="1:8">
      <c r="A36" t="s">
        <v>40</v>
      </c>
      <c r="B36" t="s">
        <v>41</v>
      </c>
    </row>
    <row r="37" spans="1:8">
      <c r="A37" t="s">
        <v>42</v>
      </c>
      <c r="B37" t="s">
        <v>43</v>
      </c>
      <c r="C37" t="s">
        <v>44</v>
      </c>
    </row>
    <row r="38" spans="1:8">
      <c r="A38" t="s">
        <v>45</v>
      </c>
      <c r="B38" t="s">
        <v>46</v>
      </c>
    </row>
    <row r="39" spans="1:8">
      <c r="A39" t="s">
        <v>47</v>
      </c>
      <c r="B39" t="s">
        <v>48</v>
      </c>
    </row>
    <row r="40" spans="1:8">
      <c r="A40" t="s">
        <v>49</v>
      </c>
      <c r="B40" t="s">
        <v>50</v>
      </c>
    </row>
    <row r="41" spans="1:8">
      <c r="A41" t="s">
        <v>51</v>
      </c>
      <c r="B41" t="s">
        <v>52</v>
      </c>
    </row>
    <row r="42" spans="1:8">
      <c r="A42" t="s">
        <v>53</v>
      </c>
      <c r="B42" t="s">
        <v>54</v>
      </c>
    </row>
  </sheetData>
  <hyperlinks>
    <hyperlink ref="A17" location="'Corp. governance'!A1" display="Корпоративное управление" xr:uid="{00000000-0004-0000-0000-000000000000}"/>
    <hyperlink ref="A5" location="'Climate'!A1" display="Парниковые газы" xr:uid="{00000000-0004-0000-0000-000001000000}"/>
    <hyperlink ref="A6" location="'Energy'!A1" display="Энергия!A1" xr:uid="{00000000-0004-0000-0000-000002000000}"/>
    <hyperlink ref="A9" location="'Water '!A1" display="'Вода '!A1" xr:uid="{00000000-0004-0000-0000-000003000000}"/>
    <hyperlink ref="A10" location="'Emissions '!A1" display="'Выбросы '!A1" xr:uid="{00000000-0004-0000-0000-000004000000}"/>
    <hyperlink ref="A11" location="'Land and waste'!A1" display="Отходы '!A1" xr:uid="{00000000-0004-0000-0000-000005000000}"/>
    <hyperlink ref="A8" location="'IMS'!A1" display="Интегрированная система управления" xr:uid="{00000000-0004-0000-0000-000006000000}"/>
    <hyperlink ref="A12" location="'Industrial safety'!A1" display="Промышленная безопасность" xr:uid="{00000000-0004-0000-0000-000007000000}"/>
    <hyperlink ref="A14" location="'Occupational safety'!A1" display="'Охрана труда'!A1" xr:uid="{00000000-0004-0000-0000-000008000000}"/>
    <hyperlink ref="A15" location="'Employees'!A1" display="Сведения о работниках" xr:uid="{00000000-0004-0000-0000-000009000000}"/>
  </hyperlinks>
  <pageMargins left="0.7" right="0.7" top="0.75" bottom="0.75" header="0.3" footer="0.3"/>
  <pageSetup paperSize="9" scale="4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87"/>
  <sheetViews>
    <sheetView topLeftCell="A70" zoomScale="115" zoomScaleNormal="115" zoomScaleSheetLayoutView="80" workbookViewId="0">
      <selection activeCell="G24" sqref="B24:G24"/>
    </sheetView>
  </sheetViews>
  <sheetFormatPr defaultColWidth="10.5" defaultRowHeight="15"/>
  <cols>
    <col min="1" max="1" width="39.625" style="21" customWidth="1"/>
    <col min="2" max="2" width="15.625" style="21" customWidth="1"/>
    <col min="3" max="7" width="10.625" style="21" customWidth="1"/>
    <col min="8" max="8" width="10.625" style="133" customWidth="1"/>
    <col min="9" max="9" width="8.625" style="448" customWidth="1"/>
    <col min="10" max="10" width="13.125" style="448" customWidth="1"/>
    <col min="11" max="16384" width="10.5" style="21"/>
  </cols>
  <sheetData>
    <row r="1" spans="1:12" ht="21.75" customHeight="1">
      <c r="A1" s="593" t="s">
        <v>55</v>
      </c>
      <c r="B1" s="269"/>
      <c r="C1" s="269"/>
      <c r="D1" s="269"/>
      <c r="E1" s="269"/>
      <c r="F1" s="269"/>
      <c r="G1" s="269"/>
      <c r="H1" s="134"/>
      <c r="L1" s="453"/>
    </row>
    <row r="2" spans="1:12" ht="16.350000000000001" customHeight="1">
      <c r="A2" s="515" t="s">
        <v>56</v>
      </c>
      <c r="B2" s="269"/>
      <c r="C2" s="269"/>
      <c r="D2" s="526"/>
      <c r="E2" s="526"/>
      <c r="F2" s="526"/>
      <c r="G2" s="526"/>
      <c r="H2" s="134"/>
      <c r="L2" s="453"/>
    </row>
    <row r="3" spans="1:12" ht="16.350000000000001" customHeight="1">
      <c r="A3" s="515" t="s">
        <v>57</v>
      </c>
      <c r="B3" s="269"/>
      <c r="C3" s="269"/>
      <c r="D3" s="269"/>
      <c r="E3" s="269"/>
      <c r="F3" s="269"/>
      <c r="G3" s="269"/>
      <c r="H3" s="134"/>
      <c r="L3" s="453"/>
    </row>
    <row r="4" spans="1:12" ht="16.350000000000001" customHeight="1">
      <c r="A4" s="515" t="s">
        <v>58</v>
      </c>
      <c r="B4" s="269"/>
      <c r="C4" s="269"/>
      <c r="D4" s="269"/>
      <c r="E4" s="269"/>
      <c r="F4" s="269"/>
      <c r="G4" s="269"/>
      <c r="H4" s="134"/>
      <c r="L4" s="453"/>
    </row>
    <row r="5" spans="1:12" ht="16.350000000000001" customHeight="1">
      <c r="A5" s="515" t="s">
        <v>59</v>
      </c>
      <c r="B5" s="269"/>
      <c r="C5" s="269"/>
      <c r="D5" s="269"/>
      <c r="E5" s="269"/>
      <c r="F5" s="269"/>
      <c r="G5" s="269"/>
      <c r="H5" s="134"/>
      <c r="L5" s="453"/>
    </row>
    <row r="6" spans="1:12" ht="16.350000000000001" customHeight="1">
      <c r="A6" s="515"/>
      <c r="B6" s="269"/>
      <c r="C6" s="269"/>
      <c r="D6" s="269"/>
      <c r="E6" s="269"/>
      <c r="F6" s="269"/>
      <c r="G6" s="269"/>
      <c r="H6" s="134"/>
      <c r="L6" s="453"/>
    </row>
    <row r="7" spans="1:12" ht="16.350000000000001" customHeight="1">
      <c r="A7" s="592" t="s">
        <v>60</v>
      </c>
      <c r="B7" s="269"/>
      <c r="C7" s="269"/>
      <c r="D7" s="269"/>
      <c r="E7" s="269"/>
      <c r="F7" s="269"/>
      <c r="G7" s="269"/>
      <c r="H7" s="134"/>
      <c r="L7" s="453"/>
    </row>
    <row r="8" spans="1:12" ht="16.350000000000001" customHeight="1">
      <c r="A8" s="514" t="s">
        <v>56</v>
      </c>
      <c r="B8" s="269"/>
      <c r="C8" s="269"/>
      <c r="D8" s="269"/>
      <c r="E8" s="269"/>
      <c r="F8" s="540" t="s">
        <v>61</v>
      </c>
      <c r="G8" s="448"/>
      <c r="H8" s="448"/>
      <c r="L8" s="453"/>
    </row>
    <row r="9" spans="1:12" ht="35.1" customHeight="1">
      <c r="A9" s="82" t="s">
        <v>62</v>
      </c>
      <c r="B9" s="392"/>
      <c r="C9" s="392"/>
      <c r="D9" s="392"/>
      <c r="E9" s="392"/>
      <c r="F9" s="132" t="s">
        <v>63</v>
      </c>
      <c r="G9" s="132" t="s">
        <v>25</v>
      </c>
      <c r="H9" s="132" t="s">
        <v>64</v>
      </c>
      <c r="L9" s="453"/>
    </row>
    <row r="10" spans="1:12" ht="28.35" customHeight="1">
      <c r="A10" s="660" t="s">
        <v>65</v>
      </c>
      <c r="B10" s="661" t="s">
        <v>66</v>
      </c>
      <c r="C10" s="662">
        <v>2017</v>
      </c>
      <c r="D10" s="660">
        <v>2023</v>
      </c>
      <c r="E10" s="660">
        <v>2024</v>
      </c>
      <c r="F10" s="133"/>
      <c r="G10" s="448"/>
      <c r="H10" s="448"/>
      <c r="L10" s="453"/>
    </row>
    <row r="11" spans="1:12" ht="16.350000000000001" customHeight="1">
      <c r="A11" s="594" t="s">
        <v>67</v>
      </c>
      <c r="B11" s="140" t="s">
        <v>835</v>
      </c>
      <c r="C11" s="710">
        <v>48.397086000000002</v>
      </c>
      <c r="D11" s="710">
        <v>41.819000000000003</v>
      </c>
      <c r="E11" s="710">
        <v>39.844413000000003</v>
      </c>
      <c r="F11" s="134"/>
      <c r="G11" s="448"/>
      <c r="H11" s="448"/>
      <c r="K11" s="794"/>
      <c r="L11" s="453"/>
    </row>
    <row r="12" spans="1:12" ht="21.75" customHeight="1">
      <c r="A12" s="271" t="s">
        <v>68</v>
      </c>
      <c r="B12" s="137"/>
      <c r="C12" s="272"/>
      <c r="D12" s="269"/>
      <c r="E12" s="269"/>
      <c r="F12" s="816"/>
      <c r="G12" s="817"/>
      <c r="H12" s="448"/>
      <c r="L12" s="453"/>
    </row>
    <row r="13" spans="1:12" ht="122.1" customHeight="1">
      <c r="A13" s="1004" t="s">
        <v>788</v>
      </c>
      <c r="B13" s="1004"/>
      <c r="C13" s="1004"/>
      <c r="D13" s="1004"/>
      <c r="E13" s="1004"/>
      <c r="F13" s="1004"/>
      <c r="G13" s="1004"/>
      <c r="H13" s="134"/>
      <c r="L13" s="453"/>
    </row>
    <row r="14" spans="1:12" ht="41.1" customHeight="1">
      <c r="A14" s="1004" t="s">
        <v>789</v>
      </c>
      <c r="B14" s="1004"/>
      <c r="C14" s="1004"/>
      <c r="D14" s="1004"/>
      <c r="E14" s="1004"/>
      <c r="F14" s="1004"/>
      <c r="G14" s="818"/>
      <c r="H14" s="134"/>
      <c r="L14" s="453"/>
    </row>
    <row r="15" spans="1:12" ht="16.350000000000001" customHeight="1">
      <c r="A15" s="637"/>
      <c r="B15" s="637"/>
      <c r="C15" s="637"/>
      <c r="D15" s="637"/>
      <c r="E15" s="637"/>
      <c r="F15" s="637"/>
      <c r="G15" s="637"/>
      <c r="H15" s="134"/>
      <c r="L15" s="453"/>
    </row>
    <row r="16" spans="1:12" ht="35.1" customHeight="1">
      <c r="A16" s="82" t="s">
        <v>69</v>
      </c>
      <c r="B16" s="82"/>
      <c r="C16" s="82"/>
      <c r="D16" s="83"/>
      <c r="E16" s="83"/>
      <c r="H16" s="21"/>
      <c r="L16" s="453"/>
    </row>
    <row r="17" spans="1:12" s="28" customFormat="1" ht="12.75">
      <c r="A17" s="660" t="s">
        <v>65</v>
      </c>
      <c r="B17" s="73" t="s">
        <v>66</v>
      </c>
      <c r="C17" s="663">
        <v>2017</v>
      </c>
      <c r="D17" s="711">
        <v>2023</v>
      </c>
      <c r="E17" s="711">
        <v>2024</v>
      </c>
      <c r="F17" s="815"/>
      <c r="G17" s="815"/>
      <c r="H17" s="101"/>
      <c r="I17" s="449"/>
      <c r="J17" s="447"/>
    </row>
    <row r="18" spans="1:12" s="28" customFormat="1" ht="30" customHeight="1">
      <c r="A18" s="379" t="s">
        <v>70</v>
      </c>
      <c r="B18" s="146" t="s">
        <v>71</v>
      </c>
      <c r="C18" s="801">
        <v>26.574288166331165</v>
      </c>
      <c r="D18" s="262">
        <v>22.355</v>
      </c>
      <c r="E18" s="700">
        <v>22.315843209922839</v>
      </c>
      <c r="F18" s="447" t="s">
        <v>72</v>
      </c>
      <c r="G18" s="447" t="s">
        <v>73</v>
      </c>
      <c r="H18" s="447" t="s">
        <v>27</v>
      </c>
    </row>
    <row r="19" spans="1:12" s="28" customFormat="1" ht="16.350000000000001" customHeight="1">
      <c r="A19" s="379"/>
      <c r="B19" s="146" t="s">
        <v>74</v>
      </c>
      <c r="C19" s="801">
        <v>4.5348614618312562</v>
      </c>
      <c r="D19" s="262">
        <v>3.8149999999999999</v>
      </c>
      <c r="E19" s="700">
        <v>3.8081643702939996</v>
      </c>
      <c r="F19" s="447" t="s">
        <v>72</v>
      </c>
      <c r="G19" s="447" t="s">
        <v>73</v>
      </c>
      <c r="H19" s="133"/>
    </row>
    <row r="20" spans="1:12" s="28" customFormat="1" ht="46.35" customHeight="1">
      <c r="A20" s="379" t="s">
        <v>75</v>
      </c>
      <c r="B20" s="57" t="s">
        <v>76</v>
      </c>
      <c r="C20" s="380">
        <v>0.30226397296887841</v>
      </c>
      <c r="D20" s="700">
        <v>0.28739098000000002</v>
      </c>
      <c r="E20" s="700">
        <v>0.27767520000000001</v>
      </c>
      <c r="F20" s="447" t="s">
        <v>72</v>
      </c>
      <c r="G20" s="447" t="s">
        <v>73</v>
      </c>
      <c r="H20" s="447" t="s">
        <v>27</v>
      </c>
    </row>
    <row r="21" spans="1:12" s="28" customFormat="1" ht="59.1" customHeight="1">
      <c r="A21" s="787" t="s">
        <v>77</v>
      </c>
      <c r="B21" s="57" t="s">
        <v>78</v>
      </c>
      <c r="C21" s="380">
        <v>0.29569219629463994</v>
      </c>
      <c r="D21" s="700">
        <v>0.3285999197713193</v>
      </c>
      <c r="E21" s="700">
        <v>0.32001057079199141</v>
      </c>
      <c r="F21" s="447" t="s">
        <v>72</v>
      </c>
      <c r="G21" s="447" t="s">
        <v>73</v>
      </c>
      <c r="H21" s="447" t="s">
        <v>27</v>
      </c>
    </row>
    <row r="22" spans="1:12" ht="16.350000000000001" customHeight="1">
      <c r="A22" s="353" t="s">
        <v>79</v>
      </c>
      <c r="B22" s="157"/>
      <c r="C22" s="157"/>
      <c r="D22" s="185"/>
      <c r="E22" s="443"/>
      <c r="F22" s="443"/>
      <c r="G22" s="443"/>
    </row>
    <row r="23" spans="1:12" ht="42.95" customHeight="1">
      <c r="A23" s="1005" t="s">
        <v>843</v>
      </c>
      <c r="B23" s="1005"/>
      <c r="C23" s="1005"/>
      <c r="D23" s="1005"/>
      <c r="E23" s="1005"/>
      <c r="F23" s="1005"/>
      <c r="G23" s="1005"/>
      <c r="H23" s="970"/>
    </row>
    <row r="24" spans="1:12">
      <c r="A24" s="994" t="s">
        <v>853</v>
      </c>
      <c r="B24" s="988"/>
      <c r="C24" s="988"/>
      <c r="D24" s="988"/>
      <c r="E24" s="988"/>
      <c r="F24" s="988"/>
      <c r="G24" s="988"/>
      <c r="H24" s="970"/>
    </row>
    <row r="25" spans="1:12" ht="22.35" customHeight="1">
      <c r="A25" s="513" t="s">
        <v>57</v>
      </c>
      <c r="B25" s="502"/>
      <c r="C25" s="502"/>
      <c r="D25" s="502"/>
      <c r="E25" s="502"/>
      <c r="F25" s="502"/>
      <c r="G25" s="502"/>
      <c r="H25" s="134"/>
      <c r="L25" s="453"/>
    </row>
    <row r="26" spans="1:12" ht="35.1" customHeight="1">
      <c r="A26" s="82" t="s">
        <v>80</v>
      </c>
      <c r="B26" s="391"/>
      <c r="C26" s="391"/>
      <c r="D26" s="392"/>
      <c r="E26" s="392"/>
      <c r="F26" s="269"/>
      <c r="G26" s="269"/>
      <c r="H26" s="119"/>
      <c r="L26" s="453"/>
    </row>
    <row r="27" spans="1:12" s="269" customFormat="1" ht="28.35" customHeight="1">
      <c r="A27" s="660" t="s">
        <v>65</v>
      </c>
      <c r="B27" s="661" t="s">
        <v>66</v>
      </c>
      <c r="C27" s="662">
        <v>2017</v>
      </c>
      <c r="D27" s="660">
        <v>2023</v>
      </c>
      <c r="E27" s="660">
        <v>2024</v>
      </c>
      <c r="F27" s="132"/>
      <c r="G27" s="132"/>
    </row>
    <row r="28" spans="1:12" s="269" customFormat="1" ht="38.25" customHeight="1">
      <c r="A28" s="664" t="s">
        <v>81</v>
      </c>
      <c r="B28" s="383" t="s">
        <v>82</v>
      </c>
      <c r="C28" s="802">
        <f>C29+C30+C32+C33</f>
        <v>38.372192000000005</v>
      </c>
      <c r="D28" s="802">
        <f t="shared" ref="D28:E28" si="0">D29+D30+D32+D33</f>
        <v>36.898000000000003</v>
      </c>
      <c r="E28" s="802">
        <f t="shared" si="0"/>
        <v>35.583984000000001</v>
      </c>
      <c r="F28" s="445" t="s">
        <v>83</v>
      </c>
      <c r="G28" s="447" t="s">
        <v>84</v>
      </c>
      <c r="H28" s="445" t="s">
        <v>85</v>
      </c>
      <c r="L28" s="455"/>
    </row>
    <row r="29" spans="1:12" s="269" customFormat="1" ht="16.350000000000001" customHeight="1">
      <c r="A29" s="99" t="s">
        <v>86</v>
      </c>
      <c r="B29" s="383" t="s">
        <v>82</v>
      </c>
      <c r="C29" s="797">
        <v>36.661793000000003</v>
      </c>
      <c r="D29" s="700">
        <v>36.539000000000001</v>
      </c>
      <c r="E29" s="700">
        <v>34.935828000000001</v>
      </c>
      <c r="F29" s="447" t="s">
        <v>87</v>
      </c>
      <c r="G29" s="447" t="s">
        <v>84</v>
      </c>
      <c r="H29" s="101"/>
    </row>
    <row r="30" spans="1:12" s="269" customFormat="1" ht="16.350000000000001" customHeight="1">
      <c r="A30" s="99" t="s">
        <v>88</v>
      </c>
      <c r="B30" s="383" t="s">
        <v>82</v>
      </c>
      <c r="C30" s="797">
        <v>1.6862189999999999</v>
      </c>
      <c r="D30" s="700">
        <v>0.33300000000000002</v>
      </c>
      <c r="E30" s="801">
        <v>0.62434400000000001</v>
      </c>
      <c r="F30" s="447" t="s">
        <v>87</v>
      </c>
      <c r="G30" s="447" t="s">
        <v>84</v>
      </c>
      <c r="H30" s="445" t="s">
        <v>33</v>
      </c>
    </row>
    <row r="31" spans="1:12" s="269" customFormat="1" ht="16.350000000000001" customHeight="1">
      <c r="A31" s="99" t="s">
        <v>89</v>
      </c>
      <c r="B31" s="665" t="s">
        <v>90</v>
      </c>
      <c r="C31" s="803">
        <f>C30/C28*100</f>
        <v>4.3943775742600257</v>
      </c>
      <c r="D31" s="803">
        <f t="shared" ref="D31:E31" si="1">D30/D28*100</f>
        <v>0.90248793972573027</v>
      </c>
      <c r="E31" s="803">
        <f t="shared" si="1"/>
        <v>1.754564637843812</v>
      </c>
      <c r="F31" s="132"/>
      <c r="G31" s="132"/>
      <c r="H31" s="132"/>
    </row>
    <row r="32" spans="1:12" s="269" customFormat="1" ht="16.350000000000001" customHeight="1">
      <c r="A32" s="99" t="s">
        <v>91</v>
      </c>
      <c r="B32" s="383" t="s">
        <v>82</v>
      </c>
      <c r="C32" s="797">
        <v>2.418E-2</v>
      </c>
      <c r="D32" s="700">
        <v>2.5999999999999999E-2</v>
      </c>
      <c r="E32" s="804">
        <v>2.3812E-2</v>
      </c>
      <c r="F32" s="447" t="s">
        <v>87</v>
      </c>
      <c r="G32" s="447" t="s">
        <v>84</v>
      </c>
      <c r="H32" s="110"/>
    </row>
    <row r="33" spans="1:10" s="269" customFormat="1" ht="16.350000000000001" customHeight="1">
      <c r="A33" s="99" t="s">
        <v>92</v>
      </c>
      <c r="B33" s="383" t="s">
        <v>82</v>
      </c>
      <c r="C33" s="94">
        <v>0</v>
      </c>
      <c r="D33" s="564">
        <v>0</v>
      </c>
      <c r="E33" s="564">
        <v>0</v>
      </c>
      <c r="F33" s="447" t="s">
        <v>87</v>
      </c>
      <c r="G33" s="447" t="s">
        <v>84</v>
      </c>
      <c r="H33" s="110"/>
    </row>
    <row r="34" spans="1:10" s="269" customFormat="1" ht="16.350000000000001" customHeight="1">
      <c r="A34" s="664" t="s">
        <v>93</v>
      </c>
      <c r="B34" s="667"/>
      <c r="C34" s="662"/>
      <c r="D34" s="660"/>
      <c r="E34" s="660"/>
      <c r="F34" s="132"/>
      <c r="G34" s="132"/>
      <c r="H34" s="132"/>
    </row>
    <row r="35" spans="1:10" s="269" customFormat="1" ht="40.35" customHeight="1">
      <c r="A35" s="99" t="s">
        <v>94</v>
      </c>
      <c r="B35" s="383" t="s">
        <v>82</v>
      </c>
      <c r="C35" s="679">
        <v>12.315165</v>
      </c>
      <c r="D35" s="270">
        <v>12.912000000000001</v>
      </c>
      <c r="E35" s="270">
        <v>13.359289</v>
      </c>
      <c r="F35" s="445" t="s">
        <v>83</v>
      </c>
      <c r="G35" s="447" t="s">
        <v>95</v>
      </c>
      <c r="H35" s="447" t="s">
        <v>96</v>
      </c>
    </row>
    <row r="36" spans="1:10" s="269" customFormat="1" ht="41.1" customHeight="1">
      <c r="A36" s="99" t="s">
        <v>97</v>
      </c>
      <c r="B36" s="383" t="s">
        <v>82</v>
      </c>
      <c r="C36" s="805">
        <v>15.752326999999999</v>
      </c>
      <c r="D36" s="270">
        <v>15.359</v>
      </c>
      <c r="E36" s="270">
        <v>14.165606</v>
      </c>
      <c r="F36" s="445" t="s">
        <v>98</v>
      </c>
      <c r="G36" s="447" t="s">
        <v>95</v>
      </c>
      <c r="H36" s="447" t="s">
        <v>96</v>
      </c>
    </row>
    <row r="37" spans="1:10" s="269" customFormat="1" ht="16.350000000000001" customHeight="1">
      <c r="A37" s="99" t="s">
        <v>77</v>
      </c>
      <c r="B37" s="383" t="s">
        <v>82</v>
      </c>
      <c r="C37" s="270">
        <v>10.22691</v>
      </c>
      <c r="D37" s="270">
        <v>8.4540000000000006</v>
      </c>
      <c r="E37" s="270">
        <v>7.8805579999999997</v>
      </c>
      <c r="F37" s="447" t="s">
        <v>87</v>
      </c>
      <c r="G37" s="447" t="s">
        <v>95</v>
      </c>
      <c r="H37" s="447" t="s">
        <v>96</v>
      </c>
    </row>
    <row r="38" spans="1:10" s="269" customFormat="1" ht="41.1" customHeight="1">
      <c r="A38" s="99" t="s">
        <v>99</v>
      </c>
      <c r="B38" s="383" t="s">
        <v>82</v>
      </c>
      <c r="C38" s="270">
        <v>7.7789999999999998E-2</v>
      </c>
      <c r="D38" s="270">
        <v>0.17199999999999999</v>
      </c>
      <c r="E38" s="270">
        <v>0.17852999999999999</v>
      </c>
      <c r="F38" s="445" t="s">
        <v>100</v>
      </c>
      <c r="G38" s="447" t="s">
        <v>95</v>
      </c>
      <c r="H38" s="447" t="s">
        <v>96</v>
      </c>
    </row>
    <row r="39" spans="1:10" s="269" customFormat="1" ht="16.350000000000001" customHeight="1">
      <c r="A39" s="668" t="s">
        <v>101</v>
      </c>
      <c r="B39" s="667"/>
      <c r="C39" s="662"/>
      <c r="D39" s="660"/>
      <c r="E39" s="660"/>
      <c r="F39" s="132"/>
      <c r="G39" s="132"/>
      <c r="H39" s="132"/>
    </row>
    <row r="40" spans="1:10" s="269" customFormat="1" ht="16.350000000000001" customHeight="1">
      <c r="A40" s="503" t="s">
        <v>102</v>
      </c>
      <c r="B40" s="383" t="s">
        <v>82</v>
      </c>
      <c r="C40" s="806">
        <v>35.727516000000001</v>
      </c>
      <c r="D40" s="270">
        <v>33.936</v>
      </c>
      <c r="E40" s="270">
        <v>32.557352999999999</v>
      </c>
      <c r="F40" s="447" t="s">
        <v>87</v>
      </c>
      <c r="G40" s="447" t="s">
        <v>95</v>
      </c>
      <c r="H40" s="447" t="s">
        <v>27</v>
      </c>
    </row>
    <row r="41" spans="1:10" s="269" customFormat="1" ht="16.350000000000001" customHeight="1">
      <c r="A41" s="141" t="s">
        <v>103</v>
      </c>
      <c r="B41" s="383" t="s">
        <v>82</v>
      </c>
      <c r="C41" s="270">
        <v>2.644676</v>
      </c>
      <c r="D41" s="270">
        <v>2.9609999999999999</v>
      </c>
      <c r="E41" s="270">
        <v>3.0266299999999999</v>
      </c>
      <c r="F41" s="447" t="s">
        <v>87</v>
      </c>
      <c r="G41" s="447" t="s">
        <v>95</v>
      </c>
      <c r="H41" s="132"/>
    </row>
    <row r="42" spans="1:10" s="269" customFormat="1" ht="63" customHeight="1">
      <c r="A42" s="689" t="s">
        <v>104</v>
      </c>
      <c r="B42" s="666" t="s">
        <v>90</v>
      </c>
      <c r="C42" s="348">
        <v>6.2</v>
      </c>
      <c r="D42" s="348">
        <v>99</v>
      </c>
      <c r="E42" s="348">
        <v>99</v>
      </c>
      <c r="F42" s="445" t="s">
        <v>105</v>
      </c>
      <c r="G42" s="110"/>
      <c r="H42" s="110"/>
    </row>
    <row r="43" spans="1:10" s="269" customFormat="1" ht="16.350000000000001" customHeight="1">
      <c r="A43" s="508" t="s">
        <v>68</v>
      </c>
      <c r="B43" s="504"/>
      <c r="C43" s="505"/>
      <c r="D43" s="504"/>
      <c r="E43" s="506"/>
      <c r="F43" s="506"/>
      <c r="G43" s="506"/>
      <c r="H43" s="132"/>
      <c r="I43" s="132"/>
      <c r="J43" s="132"/>
    </row>
    <row r="44" spans="1:10" s="269" customFormat="1" ht="28.5" customHeight="1">
      <c r="A44" s="1006" t="s">
        <v>790</v>
      </c>
      <c r="B44" s="1006"/>
      <c r="C44" s="1006"/>
      <c r="D44" s="1006"/>
      <c r="E44" s="1006"/>
      <c r="F44" s="1006"/>
      <c r="G44" s="1006"/>
      <c r="H44" s="132"/>
      <c r="I44" s="132"/>
      <c r="J44" s="132"/>
    </row>
    <row r="45" spans="1:10" s="269" customFormat="1" ht="16.350000000000001" customHeight="1">
      <c r="A45" s="548"/>
      <c r="B45" s="548"/>
      <c r="C45" s="548"/>
      <c r="D45" s="548"/>
      <c r="E45" s="548"/>
      <c r="F45" s="548"/>
      <c r="G45" s="548"/>
      <c r="H45" s="132"/>
      <c r="I45" s="132"/>
      <c r="J45" s="132"/>
    </row>
    <row r="46" spans="1:10" ht="35.1" customHeight="1">
      <c r="A46" s="82" t="s">
        <v>106</v>
      </c>
      <c r="B46" s="82"/>
      <c r="C46" s="82"/>
      <c r="D46" s="83"/>
      <c r="E46" s="83"/>
    </row>
    <row r="47" spans="1:10" s="28" customFormat="1" ht="12.75">
      <c r="A47" s="660" t="s">
        <v>65</v>
      </c>
      <c r="B47" s="73" t="s">
        <v>66</v>
      </c>
      <c r="C47" s="662">
        <v>2017</v>
      </c>
      <c r="D47" s="711">
        <v>2023</v>
      </c>
      <c r="E47" s="711">
        <v>2024</v>
      </c>
      <c r="F47" s="815"/>
      <c r="G47" s="815"/>
      <c r="H47" s="135"/>
      <c r="I47" s="133"/>
      <c r="J47" s="133"/>
    </row>
    <row r="48" spans="1:10" s="269" customFormat="1" ht="45" customHeight="1">
      <c r="A48" s="535" t="s">
        <v>107</v>
      </c>
      <c r="B48" s="140" t="s">
        <v>108</v>
      </c>
      <c r="C48" s="348">
        <v>3.899</v>
      </c>
      <c r="D48" s="679">
        <v>2.5129999999999999</v>
      </c>
      <c r="E48" s="679">
        <v>3.7147269999999999</v>
      </c>
      <c r="F48" s="462" t="s">
        <v>109</v>
      </c>
      <c r="G48" s="447" t="s">
        <v>110</v>
      </c>
      <c r="H48" s="462" t="s">
        <v>111</v>
      </c>
    </row>
    <row r="49" spans="1:12" s="269" customFormat="1" ht="33.75" customHeight="1">
      <c r="A49" s="527" t="s">
        <v>112</v>
      </c>
      <c r="B49" s="347" t="s">
        <v>90</v>
      </c>
      <c r="C49" s="803">
        <f>C48/C28*100</f>
        <v>10.161004093797924</v>
      </c>
      <c r="D49" s="803">
        <f>D48/D28*100</f>
        <v>6.8106672448371182</v>
      </c>
      <c r="E49" s="803">
        <f>E48/E28*100</f>
        <v>10.439322926853833</v>
      </c>
      <c r="F49" s="110"/>
      <c r="G49" s="447" t="s">
        <v>113</v>
      </c>
      <c r="H49" s="110"/>
    </row>
    <row r="50" spans="1:12" s="22" customFormat="1" ht="20.100000000000001" customHeight="1">
      <c r="A50" s="349" t="s">
        <v>114</v>
      </c>
      <c r="B50" s="350"/>
      <c r="C50" s="351"/>
      <c r="D50" s="352"/>
      <c r="E50" s="444"/>
      <c r="F50" s="444"/>
      <c r="G50" s="444"/>
      <c r="H50" s="136"/>
      <c r="I50" s="450"/>
      <c r="J50" s="450"/>
    </row>
    <row r="51" spans="1:12" s="22" customFormat="1" ht="16.350000000000001" customHeight="1">
      <c r="A51" s="616" t="s">
        <v>832</v>
      </c>
      <c r="B51" s="616"/>
      <c r="C51" s="616"/>
      <c r="D51" s="616"/>
      <c r="E51" s="616"/>
      <c r="F51"/>
      <c r="G51"/>
      <c r="H51"/>
      <c r="I51" s="450"/>
      <c r="J51" s="450"/>
    </row>
    <row r="52" spans="1:12" s="22" customFormat="1" ht="45.95" customHeight="1">
      <c r="A52" s="1007" t="s">
        <v>844</v>
      </c>
      <c r="B52" s="1007"/>
      <c r="C52" s="1007"/>
      <c r="D52" s="1007"/>
      <c r="E52" s="1007"/>
      <c r="F52" s="616"/>
      <c r="G52"/>
      <c r="H52"/>
      <c r="I52" s="450"/>
      <c r="J52" s="450"/>
    </row>
    <row r="53" spans="1:12" s="28" customFormat="1" ht="16.350000000000001" customHeight="1">
      <c r="A53" s="507"/>
      <c r="B53" s="509"/>
      <c r="C53" s="452"/>
      <c r="D53" s="452"/>
      <c r="E53" s="452"/>
      <c r="F53" s="452"/>
      <c r="G53" s="452"/>
      <c r="H53" s="133"/>
      <c r="I53" s="460"/>
      <c r="J53" s="133"/>
    </row>
    <row r="54" spans="1:12" s="28" customFormat="1" ht="30" customHeight="1">
      <c r="A54" s="82" t="s">
        <v>791</v>
      </c>
      <c r="B54" s="82"/>
      <c r="C54" s="82"/>
      <c r="D54" s="82"/>
      <c r="E54" s="83"/>
      <c r="F54" s="21"/>
      <c r="G54" s="21"/>
      <c r="H54" s="21"/>
      <c r="I54" s="448"/>
      <c r="J54" s="448"/>
      <c r="K54" s="448"/>
    </row>
    <row r="55" spans="1:12" s="28" customFormat="1" ht="16.350000000000001" customHeight="1">
      <c r="A55" s="669" t="s">
        <v>65</v>
      </c>
      <c r="B55" s="670" t="s">
        <v>66</v>
      </c>
      <c r="C55" s="671">
        <v>2017</v>
      </c>
      <c r="D55" s="712">
        <v>2023</v>
      </c>
      <c r="E55" s="712">
        <v>2024</v>
      </c>
      <c r="F55" s="819"/>
      <c r="G55" s="819"/>
      <c r="I55" s="133"/>
      <c r="J55" s="133"/>
      <c r="K55" s="133"/>
      <c r="L55" s="461"/>
    </row>
    <row r="56" spans="1:12" s="28" customFormat="1" ht="47.1" customHeight="1">
      <c r="A56" s="205" t="s">
        <v>115</v>
      </c>
      <c r="B56" s="688" t="s">
        <v>116</v>
      </c>
      <c r="C56" s="235">
        <v>506.85700000000003</v>
      </c>
      <c r="D56" s="235">
        <v>319.17700000000002</v>
      </c>
      <c r="E56" s="235">
        <v>287</v>
      </c>
      <c r="F56" s="462" t="s">
        <v>117</v>
      </c>
      <c r="G56" s="445" t="s">
        <v>118</v>
      </c>
      <c r="H56" s="462" t="s">
        <v>111</v>
      </c>
    </row>
    <row r="57" spans="1:12" s="28" customFormat="1" ht="18" customHeight="1">
      <c r="A57" s="205" t="s">
        <v>119</v>
      </c>
      <c r="B57" s="94" t="s">
        <v>90</v>
      </c>
      <c r="C57" s="236">
        <v>95.6</v>
      </c>
      <c r="D57" s="195">
        <v>97.3</v>
      </c>
      <c r="E57" s="195">
        <v>97.5</v>
      </c>
      <c r="F57" s="84"/>
      <c r="G57" s="84"/>
      <c r="H57" s="110"/>
      <c r="I57" s="110"/>
      <c r="J57" s="110"/>
      <c r="K57" s="110"/>
    </row>
    <row r="58" spans="1:12" s="28" customFormat="1" ht="16.350000000000001" customHeight="1">
      <c r="A58" s="353" t="s">
        <v>79</v>
      </c>
      <c r="B58" s="21"/>
      <c r="C58" s="21"/>
      <c r="D58" s="21"/>
      <c r="E58" s="21"/>
      <c r="F58" s="21"/>
      <c r="G58" s="21"/>
      <c r="H58" s="21"/>
      <c r="I58" s="448"/>
      <c r="J58" s="448"/>
      <c r="K58" s="448"/>
    </row>
    <row r="59" spans="1:12" s="28" customFormat="1" ht="23.1" customHeight="1">
      <c r="A59" s="658" t="s">
        <v>120</v>
      </c>
      <c r="B59" s="630"/>
      <c r="C59" s="630"/>
      <c r="D59" s="630"/>
      <c r="E59" s="630"/>
      <c r="F59" s="630"/>
      <c r="G59" s="630"/>
      <c r="H59" s="630"/>
      <c r="I59"/>
      <c r="J59"/>
      <c r="K59" s="645"/>
    </row>
    <row r="60" spans="1:12" s="28" customFormat="1" ht="16.350000000000001" customHeight="1">
      <c r="A60" s="638"/>
      <c r="B60" s="630"/>
      <c r="C60" s="630"/>
      <c r="D60" s="630"/>
      <c r="E60" s="630"/>
      <c r="F60" s="630"/>
      <c r="G60" s="630"/>
      <c r="H60" s="630"/>
      <c r="I60"/>
      <c r="J60"/>
      <c r="K60"/>
    </row>
    <row r="61" spans="1:12" s="28" customFormat="1" ht="16.350000000000001" customHeight="1">
      <c r="A61" s="513" t="s">
        <v>58</v>
      </c>
      <c r="B61" s="509"/>
      <c r="C61" s="452"/>
      <c r="D61" s="452"/>
      <c r="E61" s="452"/>
      <c r="F61" s="452"/>
      <c r="G61" s="452"/>
      <c r="H61" s="133"/>
      <c r="I61" s="460"/>
      <c r="J61" s="133"/>
    </row>
    <row r="62" spans="1:12" s="28" customFormat="1" ht="30" customHeight="1">
      <c r="A62" s="82" t="s">
        <v>121</v>
      </c>
      <c r="B62" s="510"/>
      <c r="C62" s="454"/>
      <c r="D62" s="454"/>
      <c r="E62" s="454"/>
      <c r="F62" s="452"/>
      <c r="G62" s="452"/>
      <c r="H62" s="133"/>
      <c r="I62" s="460"/>
      <c r="J62" s="133"/>
    </row>
    <row r="63" spans="1:12" s="28" customFormat="1" ht="16.350000000000001" customHeight="1">
      <c r="A63" s="660" t="s">
        <v>65</v>
      </c>
      <c r="B63" s="661" t="s">
        <v>66</v>
      </c>
      <c r="C63" s="662">
        <v>2017</v>
      </c>
      <c r="D63" s="660">
        <v>2023</v>
      </c>
      <c r="E63" s="660">
        <v>2024</v>
      </c>
      <c r="F63" s="133"/>
      <c r="G63" s="460"/>
      <c r="H63" s="133"/>
      <c r="I63" s="460"/>
      <c r="J63" s="133"/>
    </row>
    <row r="64" spans="1:12" s="28" customFormat="1" ht="26.1" customHeight="1">
      <c r="A64" s="664" t="s">
        <v>122</v>
      </c>
      <c r="B64" s="140" t="s">
        <v>108</v>
      </c>
      <c r="C64" s="807">
        <v>10.024894</v>
      </c>
      <c r="D64" s="807">
        <v>4.9210000000000003</v>
      </c>
      <c r="E64" s="807">
        <v>4.2604290000000002</v>
      </c>
      <c r="F64" s="808" t="s">
        <v>123</v>
      </c>
      <c r="G64" s="808" t="s">
        <v>792</v>
      </c>
      <c r="H64" s="809" t="s">
        <v>124</v>
      </c>
      <c r="I64" s="447"/>
      <c r="J64" s="445"/>
    </row>
    <row r="65" spans="1:11" s="28" customFormat="1" ht="16.350000000000001" customHeight="1">
      <c r="A65" s="511" t="s">
        <v>125</v>
      </c>
      <c r="B65" s="140" t="s">
        <v>108</v>
      </c>
      <c r="C65" s="810">
        <v>7.9356650000000002</v>
      </c>
      <c r="D65" s="811">
        <v>3.1850000000000001</v>
      </c>
      <c r="E65" s="812">
        <v>2.5655290000000002</v>
      </c>
      <c r="F65" s="808" t="s">
        <v>123</v>
      </c>
      <c r="G65" s="808" t="s">
        <v>793</v>
      </c>
      <c r="H65" s="808" t="s">
        <v>124</v>
      </c>
      <c r="I65" s="447"/>
      <c r="J65" s="447"/>
    </row>
    <row r="66" spans="1:11" s="28" customFormat="1" ht="16.350000000000001" customHeight="1">
      <c r="A66" s="511" t="s">
        <v>126</v>
      </c>
      <c r="B66" s="140" t="s">
        <v>108</v>
      </c>
      <c r="C66" s="812">
        <v>1.884261</v>
      </c>
      <c r="D66" s="811">
        <v>1.5289999999999999</v>
      </c>
      <c r="E66" s="810">
        <v>1.4879800000000001</v>
      </c>
      <c r="F66" s="808" t="s">
        <v>123</v>
      </c>
      <c r="G66" s="808" t="s">
        <v>793</v>
      </c>
      <c r="H66" s="808" t="s">
        <v>124</v>
      </c>
      <c r="I66" s="447"/>
      <c r="J66" s="447"/>
    </row>
    <row r="67" spans="1:11" s="28" customFormat="1" ht="16.350000000000001" customHeight="1">
      <c r="A67" s="511" t="s">
        <v>127</v>
      </c>
      <c r="B67" s="140" t="s">
        <v>108</v>
      </c>
      <c r="C67" s="810">
        <v>0.15867400000000001</v>
      </c>
      <c r="D67" s="811">
        <v>0.186</v>
      </c>
      <c r="E67" s="810">
        <v>0.18570900000000001</v>
      </c>
      <c r="F67" s="808" t="s">
        <v>123</v>
      </c>
      <c r="G67" s="808" t="s">
        <v>793</v>
      </c>
      <c r="H67" s="808" t="s">
        <v>124</v>
      </c>
      <c r="I67" s="447"/>
      <c r="J67" s="447"/>
    </row>
    <row r="68" spans="1:11" s="28" customFormat="1" ht="16.350000000000001" customHeight="1">
      <c r="A68" s="511" t="s">
        <v>128</v>
      </c>
      <c r="B68" s="140" t="s">
        <v>108</v>
      </c>
      <c r="C68" s="810">
        <v>4.6294000000000002E-2</v>
      </c>
      <c r="D68" s="810">
        <v>2.1000000000000001E-2</v>
      </c>
      <c r="E68" s="810">
        <v>2.1211000000000001E-2</v>
      </c>
      <c r="F68" s="808" t="s">
        <v>123</v>
      </c>
      <c r="G68" s="808" t="s">
        <v>793</v>
      </c>
      <c r="H68" s="808" t="s">
        <v>124</v>
      </c>
      <c r="I68" s="447"/>
      <c r="J68" s="447"/>
    </row>
    <row r="69" spans="1:11" s="28" customFormat="1" ht="21" customHeight="1">
      <c r="A69" s="668" t="s">
        <v>129</v>
      </c>
      <c r="B69" s="672"/>
      <c r="C69" s="810"/>
      <c r="D69" s="810"/>
      <c r="E69" s="810"/>
      <c r="F69" s="813"/>
      <c r="G69" s="814"/>
      <c r="H69" s="813"/>
      <c r="I69" s="460"/>
      <c r="J69" s="133"/>
    </row>
    <row r="70" spans="1:11" s="28" customFormat="1" ht="16.350000000000001" customHeight="1">
      <c r="A70" s="673" t="s">
        <v>102</v>
      </c>
      <c r="B70" s="140" t="s">
        <v>108</v>
      </c>
      <c r="C70" s="810">
        <v>9.407178</v>
      </c>
      <c r="D70" s="811">
        <v>4.4139999999999997</v>
      </c>
      <c r="E70" s="810">
        <v>3.763115</v>
      </c>
      <c r="F70" s="808" t="s">
        <v>123</v>
      </c>
      <c r="G70" s="808" t="s">
        <v>792</v>
      </c>
      <c r="H70" s="808" t="s">
        <v>124</v>
      </c>
      <c r="I70" s="447"/>
      <c r="J70" s="447"/>
    </row>
    <row r="71" spans="1:11" s="28" customFormat="1" ht="16.350000000000001" customHeight="1">
      <c r="A71" s="141" t="s">
        <v>103</v>
      </c>
      <c r="B71" s="140" t="s">
        <v>108</v>
      </c>
      <c r="C71" s="810">
        <v>0.61771600000000004</v>
      </c>
      <c r="D71" s="811">
        <v>0.50700000000000001</v>
      </c>
      <c r="E71" s="812">
        <v>0.49731399999999998</v>
      </c>
      <c r="F71" s="808" t="s">
        <v>123</v>
      </c>
      <c r="G71" s="808" t="s">
        <v>792</v>
      </c>
      <c r="H71" s="808" t="s">
        <v>124</v>
      </c>
      <c r="I71" s="447"/>
      <c r="J71" s="447"/>
    </row>
    <row r="72" spans="1:11" s="28" customFormat="1" ht="16.350000000000001" customHeight="1">
      <c r="A72" s="377" t="s">
        <v>68</v>
      </c>
      <c r="B72" s="137"/>
      <c r="C72" s="272"/>
      <c r="D72" s="272"/>
      <c r="E72" s="272"/>
      <c r="F72" s="272"/>
      <c r="G72" s="272"/>
      <c r="H72" s="447"/>
      <c r="I72" s="447"/>
      <c r="J72" s="447"/>
    </row>
    <row r="73" spans="1:11" s="269" customFormat="1" ht="32.1" customHeight="1">
      <c r="A73" s="1000" t="s">
        <v>794</v>
      </c>
      <c r="B73" s="1000"/>
      <c r="C73" s="1000"/>
      <c r="D73" s="1000"/>
      <c r="E73" s="1000"/>
      <c r="F73" s="1000"/>
      <c r="G73" s="1000"/>
      <c r="H73" s="134"/>
      <c r="I73" s="134"/>
      <c r="J73" s="134"/>
      <c r="K73" s="455"/>
    </row>
    <row r="74" spans="1:11" s="28" customFormat="1" ht="16.350000000000001" customHeight="1">
      <c r="A74" s="512"/>
      <c r="B74" s="509"/>
      <c r="C74" s="452"/>
      <c r="D74" s="452"/>
      <c r="E74" s="452"/>
      <c r="F74" s="452"/>
      <c r="G74" s="452"/>
      <c r="H74" s="133"/>
      <c r="I74" s="460"/>
      <c r="J74" s="133"/>
    </row>
    <row r="75" spans="1:11" s="28" customFormat="1" ht="37.35" customHeight="1">
      <c r="A75" s="1001" t="s">
        <v>130</v>
      </c>
      <c r="B75" s="1002"/>
      <c r="C75" s="1002"/>
      <c r="D75" s="1002"/>
      <c r="E75" s="1002"/>
      <c r="F75"/>
      <c r="G75"/>
      <c r="H75"/>
      <c r="I75" s="448"/>
      <c r="J75" s="448"/>
      <c r="K75" s="448"/>
    </row>
    <row r="76" spans="1:11" s="28" customFormat="1" ht="16.350000000000001" customHeight="1">
      <c r="A76" s="660" t="s">
        <v>65</v>
      </c>
      <c r="B76" s="73" t="s">
        <v>66</v>
      </c>
      <c r="C76" s="964"/>
      <c r="D76" s="64">
        <v>2023</v>
      </c>
      <c r="E76" s="64">
        <v>2024</v>
      </c>
      <c r="G76" s="133"/>
      <c r="I76" s="133"/>
      <c r="J76" s="133"/>
      <c r="K76" s="133"/>
    </row>
    <row r="77" spans="1:11" s="28" customFormat="1" ht="16.350000000000001" customHeight="1">
      <c r="A77" s="674" t="s">
        <v>131</v>
      </c>
      <c r="B77" s="376" t="s">
        <v>132</v>
      </c>
      <c r="C77" s="965"/>
      <c r="D77" s="680">
        <v>543547</v>
      </c>
      <c r="E77" s="680">
        <v>750764</v>
      </c>
      <c r="F77" s="486" t="s">
        <v>133</v>
      </c>
      <c r="G77" s="447" t="s">
        <v>134</v>
      </c>
      <c r="H77"/>
      <c r="I77" s="447"/>
      <c r="J77" s="110"/>
    </row>
    <row r="78" spans="1:11" s="28" customFormat="1" ht="16.350000000000001" customHeight="1">
      <c r="A78" s="377" t="s">
        <v>68</v>
      </c>
      <c r="B78" s="21"/>
      <c r="C78" s="21"/>
      <c r="D78" s="21"/>
      <c r="E78" s="21"/>
      <c r="F78" s="21"/>
      <c r="G78" s="21"/>
      <c r="H78" s="21"/>
      <c r="I78" s="448"/>
      <c r="J78" s="448"/>
      <c r="K78" s="448"/>
    </row>
    <row r="79" spans="1:11" s="28" customFormat="1" ht="42" customHeight="1">
      <c r="A79" s="1003" t="s">
        <v>135</v>
      </c>
      <c r="B79" s="1003"/>
      <c r="C79" s="1003"/>
      <c r="D79" s="1003"/>
      <c r="E79" s="1003"/>
      <c r="F79" s="1003"/>
      <c r="G79" s="1003"/>
      <c r="H79" s="539"/>
      <c r="I79" s="448"/>
      <c r="J79" s="448"/>
      <c r="K79" s="448"/>
    </row>
    <row r="80" spans="1:11" s="28" customFormat="1" ht="16.350000000000001" customHeight="1">
      <c r="A80" s="636"/>
      <c r="B80" s="636"/>
      <c r="C80" s="636"/>
      <c r="D80" s="636"/>
      <c r="E80" s="636"/>
      <c r="F80" s="636"/>
      <c r="G80" s="636"/>
      <c r="H80" s="539"/>
      <c r="I80" s="448"/>
      <c r="J80" s="448"/>
      <c r="K80" s="448"/>
    </row>
    <row r="81" spans="1:10" ht="15.75">
      <c r="A81" s="514" t="s">
        <v>59</v>
      </c>
    </row>
    <row r="82" spans="1:10" ht="39" customHeight="1">
      <c r="A82" s="1001" t="s">
        <v>136</v>
      </c>
      <c r="B82" s="1002"/>
      <c r="C82" s="1002"/>
      <c r="D82" s="1002"/>
      <c r="E82" s="1002"/>
      <c r="F82"/>
      <c r="G82"/>
      <c r="H82"/>
    </row>
    <row r="83" spans="1:10">
      <c r="A83" s="660" t="s">
        <v>65</v>
      </c>
      <c r="B83" s="73" t="s">
        <v>66</v>
      </c>
      <c r="C83" s="964"/>
      <c r="D83" s="64">
        <v>2023</v>
      </c>
      <c r="E83" s="64">
        <v>2024</v>
      </c>
      <c r="F83" s="28"/>
      <c r="G83" s="133"/>
      <c r="H83" s="28"/>
      <c r="I83" s="133"/>
      <c r="J83" s="133"/>
    </row>
    <row r="84" spans="1:10" ht="15.75">
      <c r="A84" s="674" t="s">
        <v>137</v>
      </c>
      <c r="B84" s="376" t="s">
        <v>132</v>
      </c>
      <c r="C84" s="965"/>
      <c r="D84" s="680">
        <v>521310</v>
      </c>
      <c r="E84" s="680">
        <v>218433</v>
      </c>
      <c r="F84" s="486" t="s">
        <v>138</v>
      </c>
      <c r="G84" s="447" t="s">
        <v>134</v>
      </c>
      <c r="H84"/>
      <c r="I84" s="447"/>
      <c r="J84" s="110"/>
    </row>
    <row r="85" spans="1:10">
      <c r="A85" s="377" t="s">
        <v>68</v>
      </c>
      <c r="H85" s="21"/>
    </row>
    <row r="86" spans="1:10" ht="38.1" customHeight="1">
      <c r="A86" s="1000" t="s">
        <v>795</v>
      </c>
      <c r="B86" s="1000"/>
      <c r="C86" s="1000"/>
      <c r="D86" s="1000"/>
      <c r="E86" s="1000"/>
      <c r="F86" s="1000"/>
      <c r="G86" s="1000"/>
      <c r="H86" s="539"/>
    </row>
    <row r="87" spans="1:10">
      <c r="A87" s="453"/>
    </row>
  </sheetData>
  <mergeCells count="10">
    <mergeCell ref="A13:G13"/>
    <mergeCell ref="A23:G23"/>
    <mergeCell ref="A44:G44"/>
    <mergeCell ref="A73:G73"/>
    <mergeCell ref="A52:E52"/>
    <mergeCell ref="A86:G86"/>
    <mergeCell ref="A75:E75"/>
    <mergeCell ref="A82:E82"/>
    <mergeCell ref="A79:G79"/>
    <mergeCell ref="A14:F14"/>
  </mergeCells>
  <hyperlinks>
    <hyperlink ref="A2" location="'Climate'!A8" display="Валовые и удельные выбросы парниковых газов (Охваты 1 + 2) по Группе &quot;ЛУКОЙЛ&quot;" xr:uid="{00000000-0004-0000-0100-000000000000}"/>
    <hyperlink ref="A4" location="'Climate'!A58" display="Выбросы парниковых газов (Охват 2)" xr:uid="{00000000-0004-0000-0100-000002000000}"/>
    <hyperlink ref="A5" location="'Climate'!A80" display="Поставки низкоуглеродной энергии" xr:uid="{00000000-0004-0000-0100-000003000000}"/>
    <hyperlink ref="A3" location="'Climate'!A26" display="Выбросы парниковых газов (Охват 1)" xr:uid="{6BF90AFC-7AD0-FC44-A6FF-D6215598FE3F}"/>
  </hyperlinks>
  <pageMargins left="0.7" right="0.7" top="0.75" bottom="0.75" header="0.3" footer="0.3"/>
  <pageSetup paperSize="8" fitToWidth="0" fitToHeight="3"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M124"/>
  <sheetViews>
    <sheetView tabSelected="1" topLeftCell="A109" zoomScale="120" zoomScaleNormal="120" workbookViewId="0">
      <selection activeCell="E118" sqref="E118"/>
    </sheetView>
  </sheetViews>
  <sheetFormatPr defaultColWidth="11" defaultRowHeight="15.75"/>
  <cols>
    <col min="1" max="1" width="41.125" customWidth="1"/>
    <col min="2" max="2" width="14.625" customWidth="1"/>
    <col min="3" max="7" width="10.625" customWidth="1"/>
    <col min="8" max="8" width="10.625" style="105" customWidth="1"/>
    <col min="9" max="10" width="10.625" customWidth="1"/>
  </cols>
  <sheetData>
    <row r="1" spans="1:13" ht="24" customHeight="1">
      <c r="A1" s="11" t="s">
        <v>139</v>
      </c>
      <c r="H1" s="655"/>
    </row>
    <row r="2" spans="1:13" ht="16.350000000000001" customHeight="1">
      <c r="A2" s="740" t="s">
        <v>140</v>
      </c>
      <c r="H2" s="655"/>
    </row>
    <row r="3" spans="1:13" ht="16.350000000000001" customHeight="1">
      <c r="A3" s="740" t="s">
        <v>141</v>
      </c>
      <c r="H3" s="655"/>
    </row>
    <row r="4" spans="1:13" ht="16.350000000000001" customHeight="1">
      <c r="A4" s="11"/>
      <c r="H4" s="655"/>
    </row>
    <row r="5" spans="1:13" ht="16.350000000000001" customHeight="1">
      <c r="A5" s="682" t="s">
        <v>140</v>
      </c>
      <c r="H5" s="540" t="s">
        <v>61</v>
      </c>
    </row>
    <row r="6" spans="1:13" ht="35.1" customHeight="1">
      <c r="A6" s="82" t="s">
        <v>142</v>
      </c>
      <c r="B6" s="87"/>
      <c r="C6" s="87"/>
      <c r="D6" s="87"/>
      <c r="E6" s="87"/>
      <c r="F6" s="87"/>
      <c r="G6" s="87"/>
      <c r="H6" s="132" t="s">
        <v>63</v>
      </c>
      <c r="I6" s="132" t="s">
        <v>25</v>
      </c>
      <c r="J6" s="132" t="s">
        <v>64</v>
      </c>
    </row>
    <row r="7" spans="1:13" s="71" customFormat="1" ht="15">
      <c r="A7" s="381" t="s">
        <v>143</v>
      </c>
      <c r="B7" s="198" t="s">
        <v>66</v>
      </c>
      <c r="C7" s="16"/>
      <c r="D7" s="16"/>
      <c r="E7" s="458"/>
      <c r="F7" s="16">
        <v>2023</v>
      </c>
      <c r="G7" s="16">
        <v>2024</v>
      </c>
      <c r="H7" s="581"/>
    </row>
    <row r="8" spans="1:13" s="71" customFormat="1" ht="30">
      <c r="A8" s="385" t="s">
        <v>144</v>
      </c>
      <c r="B8" s="32" t="s">
        <v>145</v>
      </c>
      <c r="C8" s="30"/>
      <c r="D8" s="549"/>
      <c r="E8" s="549"/>
      <c r="F8" s="550">
        <f>F9+F14-F18+F15</f>
        <v>471.18509999999998</v>
      </c>
      <c r="G8" s="550">
        <f>G9+G14-G18+G15</f>
        <v>459.01800000000003</v>
      </c>
      <c r="H8" s="464" t="s">
        <v>146</v>
      </c>
      <c r="I8" s="464" t="s">
        <v>147</v>
      </c>
      <c r="J8" s="464" t="s">
        <v>27</v>
      </c>
      <c r="K8"/>
      <c r="L8" s="569"/>
    </row>
    <row r="9" spans="1:13" s="71" customFormat="1" ht="25.5">
      <c r="A9" s="345" t="s">
        <v>148</v>
      </c>
      <c r="B9" s="32" t="s">
        <v>145</v>
      </c>
      <c r="C9" s="30"/>
      <c r="D9" s="549"/>
      <c r="E9" s="549"/>
      <c r="F9" s="550">
        <f>F10+F11+F12+F13</f>
        <v>61.257599999999996</v>
      </c>
      <c r="G9" s="550">
        <f>G10+G11+G12+G13</f>
        <v>56.296999999999997</v>
      </c>
      <c r="H9" s="464" t="s">
        <v>146</v>
      </c>
      <c r="I9" s="464" t="s">
        <v>147</v>
      </c>
      <c r="J9" s="110"/>
      <c r="M9" s="737"/>
    </row>
    <row r="10" spans="1:13" s="71" customFormat="1" ht="16.350000000000001" customHeight="1">
      <c r="A10" s="595" t="s">
        <v>149</v>
      </c>
      <c r="B10" s="32" t="s">
        <v>145</v>
      </c>
      <c r="C10" s="32"/>
      <c r="D10" s="551"/>
      <c r="E10" s="552"/>
      <c r="F10" s="713">
        <v>48.019599999999997</v>
      </c>
      <c r="G10" s="820">
        <v>43</v>
      </c>
      <c r="H10" s="464" t="s">
        <v>146</v>
      </c>
      <c r="I10" s="464" t="s">
        <v>147</v>
      </c>
      <c r="J10" s="110"/>
      <c r="K10"/>
    </row>
    <row r="11" spans="1:13" s="71" customFormat="1" ht="16.350000000000001" customHeight="1">
      <c r="A11" s="595" t="s">
        <v>150</v>
      </c>
      <c r="B11" s="32" t="s">
        <v>145</v>
      </c>
      <c r="C11" s="551"/>
      <c r="D11" s="551"/>
      <c r="E11" s="552"/>
      <c r="F11" s="713">
        <v>13.238</v>
      </c>
      <c r="G11" s="713">
        <v>13.297000000000001</v>
      </c>
      <c r="H11" s="464" t="s">
        <v>146</v>
      </c>
      <c r="I11" s="464" t="s">
        <v>147</v>
      </c>
      <c r="J11" s="110"/>
    </row>
    <row r="12" spans="1:13" s="71" customFormat="1" ht="16.350000000000001" customHeight="1">
      <c r="A12" s="595" t="s">
        <v>151</v>
      </c>
      <c r="B12" s="32" t="s">
        <v>145</v>
      </c>
      <c r="C12" s="32"/>
      <c r="D12" s="551"/>
      <c r="E12" s="552"/>
      <c r="F12" s="713">
        <v>0</v>
      </c>
      <c r="G12" s="713">
        <v>0</v>
      </c>
      <c r="H12" s="464" t="s">
        <v>146</v>
      </c>
      <c r="I12" s="464" t="s">
        <v>147</v>
      </c>
      <c r="J12" s="110"/>
    </row>
    <row r="13" spans="1:13" s="71" customFormat="1" ht="16.350000000000001" customHeight="1">
      <c r="A13" s="595" t="s">
        <v>152</v>
      </c>
      <c r="B13" s="32" t="s">
        <v>145</v>
      </c>
      <c r="C13" s="32"/>
      <c r="D13" s="551"/>
      <c r="E13" s="552"/>
      <c r="F13" s="713">
        <v>0</v>
      </c>
      <c r="G13" s="713">
        <v>0</v>
      </c>
      <c r="H13" s="464" t="s">
        <v>146</v>
      </c>
      <c r="I13" s="464" t="s">
        <v>147</v>
      </c>
      <c r="J13" s="110"/>
    </row>
    <row r="14" spans="1:13" s="71" customFormat="1" ht="36" customHeight="1">
      <c r="A14" s="345" t="s">
        <v>153</v>
      </c>
      <c r="B14" s="32" t="s">
        <v>145</v>
      </c>
      <c r="C14" s="30"/>
      <c r="D14" s="549"/>
      <c r="E14" s="524"/>
      <c r="F14" s="550">
        <v>494.2475</v>
      </c>
      <c r="G14" s="821">
        <v>483</v>
      </c>
      <c r="H14" s="464" t="s">
        <v>146</v>
      </c>
      <c r="I14" s="464" t="s">
        <v>147</v>
      </c>
      <c r="J14" s="464" t="s">
        <v>154</v>
      </c>
      <c r="K14" s="739"/>
    </row>
    <row r="15" spans="1:13" s="71" customFormat="1" ht="43.35" customHeight="1">
      <c r="A15" s="361" t="s">
        <v>155</v>
      </c>
      <c r="B15" s="32" t="s">
        <v>145</v>
      </c>
      <c r="C15" s="553"/>
      <c r="D15" s="554"/>
      <c r="E15" s="580"/>
      <c r="F15" s="714">
        <v>3.661</v>
      </c>
      <c r="G15" s="714">
        <v>5.4640000000000004</v>
      </c>
      <c r="H15" s="464" t="s">
        <v>146</v>
      </c>
      <c r="I15" s="464" t="s">
        <v>147</v>
      </c>
      <c r="J15" s="464"/>
      <c r="L15" s="782"/>
    </row>
    <row r="16" spans="1:13" s="71" customFormat="1" ht="33" customHeight="1">
      <c r="A16" s="35" t="s">
        <v>156</v>
      </c>
      <c r="B16" s="32" t="s">
        <v>145</v>
      </c>
      <c r="C16" s="783"/>
      <c r="D16" s="784"/>
      <c r="E16" s="785"/>
      <c r="F16" s="785">
        <v>0.06</v>
      </c>
      <c r="G16" s="785">
        <v>7.0000000000000007E-2</v>
      </c>
      <c r="H16" s="464"/>
      <c r="I16" s="464"/>
      <c r="J16" s="464" t="s">
        <v>157</v>
      </c>
    </row>
    <row r="17" spans="1:12" s="71" customFormat="1" ht="34.35" customHeight="1">
      <c r="A17" s="35" t="s">
        <v>158</v>
      </c>
      <c r="B17" s="32" t="s">
        <v>145</v>
      </c>
      <c r="C17" s="557"/>
      <c r="D17" s="713"/>
      <c r="E17" s="785"/>
      <c r="F17" s="785">
        <v>3.6</v>
      </c>
      <c r="G17" s="785">
        <v>5.39</v>
      </c>
      <c r="H17" s="464"/>
      <c r="I17" s="464"/>
      <c r="J17" s="464" t="s">
        <v>157</v>
      </c>
      <c r="K17" s="739"/>
    </row>
    <row r="18" spans="1:12" s="71" customFormat="1" ht="16.350000000000001" customHeight="1">
      <c r="A18" s="372" t="s">
        <v>159</v>
      </c>
      <c r="B18" s="32" t="s">
        <v>145</v>
      </c>
      <c r="C18" s="30"/>
      <c r="D18" s="549"/>
      <c r="E18" s="550"/>
      <c r="F18" s="550">
        <f>F19+F20+F21+F22</f>
        <v>87.980999999999995</v>
      </c>
      <c r="G18" s="550">
        <f>G19+G20+G21+G22</f>
        <v>85.742999999999995</v>
      </c>
      <c r="H18" s="464" t="s">
        <v>146</v>
      </c>
      <c r="I18" s="464" t="s">
        <v>147</v>
      </c>
      <c r="J18" s="110"/>
    </row>
    <row r="19" spans="1:12" s="71" customFormat="1" ht="16.350000000000001" customHeight="1">
      <c r="A19" s="38" t="s">
        <v>149</v>
      </c>
      <c r="B19" s="32" t="s">
        <v>145</v>
      </c>
      <c r="C19" s="32"/>
      <c r="D19" s="551"/>
      <c r="E19" s="552"/>
      <c r="F19" s="713">
        <v>46.703000000000003</v>
      </c>
      <c r="G19" s="713">
        <v>45.255000000000003</v>
      </c>
      <c r="H19" s="464" t="s">
        <v>146</v>
      </c>
      <c r="I19" s="464" t="s">
        <v>147</v>
      </c>
      <c r="J19" s="110"/>
      <c r="L19" s="782"/>
    </row>
    <row r="20" spans="1:12" s="71" customFormat="1" ht="16.350000000000001" customHeight="1">
      <c r="A20" s="38" t="s">
        <v>150</v>
      </c>
      <c r="B20" s="32" t="s">
        <v>145</v>
      </c>
      <c r="C20" s="32"/>
      <c r="D20" s="551"/>
      <c r="E20" s="555"/>
      <c r="F20" s="713">
        <v>41.277999999999999</v>
      </c>
      <c r="G20" s="713">
        <v>40.488</v>
      </c>
      <c r="H20" s="464" t="s">
        <v>146</v>
      </c>
      <c r="I20" s="464" t="s">
        <v>147</v>
      </c>
      <c r="J20" s="110"/>
    </row>
    <row r="21" spans="1:12" s="71" customFormat="1" ht="16.350000000000001" customHeight="1">
      <c r="A21" s="38" t="s">
        <v>151</v>
      </c>
      <c r="B21" s="32" t="s">
        <v>145</v>
      </c>
      <c r="C21" s="32"/>
      <c r="D21" s="551"/>
      <c r="E21" s="555"/>
      <c r="F21" s="713">
        <v>0</v>
      </c>
      <c r="G21" s="713">
        <v>0</v>
      </c>
      <c r="H21" s="464" t="s">
        <v>146</v>
      </c>
      <c r="I21" s="464" t="s">
        <v>147</v>
      </c>
      <c r="J21" s="110"/>
    </row>
    <row r="22" spans="1:12" s="71" customFormat="1" ht="16.350000000000001" customHeight="1">
      <c r="A22" s="38" t="s">
        <v>152</v>
      </c>
      <c r="B22" s="32" t="s">
        <v>145</v>
      </c>
      <c r="C22" s="32"/>
      <c r="D22" s="551"/>
      <c r="E22" s="555"/>
      <c r="F22" s="551">
        <v>0</v>
      </c>
      <c r="G22" s="551">
        <v>0</v>
      </c>
      <c r="H22" s="464" t="s">
        <v>146</v>
      </c>
      <c r="I22" s="464" t="s">
        <v>147</v>
      </c>
      <c r="J22" s="110"/>
    </row>
    <row r="23" spans="1:12" ht="16.350000000000001" customHeight="1">
      <c r="A23" s="1010" t="s">
        <v>160</v>
      </c>
      <c r="B23" s="1011"/>
      <c r="C23" s="1011"/>
      <c r="D23" s="1011"/>
      <c r="E23" s="50"/>
      <c r="F23" s="50"/>
      <c r="G23" s="50"/>
    </row>
    <row r="24" spans="1:12" ht="44.1" customHeight="1">
      <c r="A24" s="1005" t="s">
        <v>845</v>
      </c>
      <c r="B24" s="1005"/>
      <c r="C24" s="1005"/>
      <c r="D24" s="1005"/>
      <c r="E24" s="1005"/>
      <c r="F24" s="1005"/>
      <c r="G24" s="1005"/>
      <c r="H24"/>
    </row>
    <row r="25" spans="1:12" ht="58.35" customHeight="1">
      <c r="A25" s="1013" t="s">
        <v>161</v>
      </c>
      <c r="B25" s="1013"/>
      <c r="C25" s="1013"/>
      <c r="D25" s="1013"/>
      <c r="E25" s="1013"/>
      <c r="F25" s="1013"/>
      <c r="G25" s="1013"/>
    </row>
    <row r="26" spans="1:12" ht="16.350000000000001" customHeight="1">
      <c r="A26" s="635"/>
      <c r="B26" s="635"/>
      <c r="C26" s="635"/>
      <c r="D26" s="635"/>
      <c r="E26" s="635"/>
      <c r="F26" s="635"/>
      <c r="G26" s="635"/>
    </row>
    <row r="27" spans="1:12" ht="35.1" customHeight="1">
      <c r="A27" s="82" t="s">
        <v>162</v>
      </c>
      <c r="B27" s="456"/>
      <c r="C27" s="456"/>
      <c r="D27" s="456"/>
      <c r="E27" s="456"/>
      <c r="F27" s="456"/>
      <c r="G27" s="456"/>
      <c r="I27" s="4"/>
    </row>
    <row r="28" spans="1:12" s="71" customFormat="1" ht="16.350000000000001" customHeight="1">
      <c r="A28" s="381" t="s">
        <v>143</v>
      </c>
      <c r="B28" s="211" t="s">
        <v>66</v>
      </c>
      <c r="C28" s="715"/>
      <c r="D28" s="715"/>
      <c r="E28" s="715"/>
      <c r="F28" s="715">
        <v>2023</v>
      </c>
      <c r="G28" s="715">
        <v>2024</v>
      </c>
      <c r="H28" s="105"/>
    </row>
    <row r="29" spans="1:12" s="71" customFormat="1" ht="16.350000000000001" customHeight="1">
      <c r="A29" s="275" t="s">
        <v>163</v>
      </c>
      <c r="B29" s="43" t="s">
        <v>164</v>
      </c>
      <c r="C29" s="226"/>
      <c r="D29" s="276"/>
      <c r="E29" s="544"/>
      <c r="F29" s="675">
        <f>F30+F31</f>
        <v>1016.8520000000001</v>
      </c>
      <c r="G29" s="675">
        <f>G30+G31</f>
        <v>1517.838</v>
      </c>
      <c r="H29" s="447" t="s">
        <v>146</v>
      </c>
      <c r="I29" s="464" t="s">
        <v>165</v>
      </c>
      <c r="J29" s="110"/>
    </row>
    <row r="30" spans="1:12" s="71" customFormat="1" ht="16.350000000000001" customHeight="1">
      <c r="A30" s="277" t="s">
        <v>166</v>
      </c>
      <c r="B30" s="43" t="s">
        <v>164</v>
      </c>
      <c r="C30" s="147"/>
      <c r="D30" s="225"/>
      <c r="E30" s="822"/>
      <c r="F30" s="823">
        <v>1004.6660000000001</v>
      </c>
      <c r="G30" s="823">
        <v>1505.5</v>
      </c>
      <c r="H30" s="447" t="s">
        <v>146</v>
      </c>
      <c r="I30" s="464" t="s">
        <v>165</v>
      </c>
    </row>
    <row r="31" spans="1:12" s="71" customFormat="1" ht="16.350000000000001" customHeight="1">
      <c r="A31" s="277" t="s">
        <v>167</v>
      </c>
      <c r="B31" s="43" t="s">
        <v>164</v>
      </c>
      <c r="C31" s="225"/>
      <c r="D31" s="225"/>
      <c r="E31" s="225"/>
      <c r="F31" s="225">
        <v>12.186</v>
      </c>
      <c r="G31" s="320">
        <v>12.337999999999999</v>
      </c>
      <c r="H31" s="447" t="s">
        <v>146</v>
      </c>
      <c r="I31" s="464" t="s">
        <v>165</v>
      </c>
    </row>
    <row r="32" spans="1:12" s="71" customFormat="1" ht="45" customHeight="1">
      <c r="A32" s="278" t="s">
        <v>168</v>
      </c>
      <c r="B32" s="59" t="s">
        <v>90</v>
      </c>
      <c r="C32" s="738"/>
      <c r="D32" s="738"/>
      <c r="E32" s="227"/>
      <c r="F32" s="227">
        <f>F15/F8*100</f>
        <v>0.77697703089507719</v>
      </c>
      <c r="G32" s="227">
        <f>G15/G8*100</f>
        <v>1.1903672622860106</v>
      </c>
      <c r="I32" s="110"/>
      <c r="J32" s="447" t="s">
        <v>169</v>
      </c>
    </row>
    <row r="33" spans="1:11" s="71" customFormat="1" ht="16.350000000000001" customHeight="1">
      <c r="A33" s="115" t="s">
        <v>170</v>
      </c>
      <c r="B33" s="43"/>
      <c r="C33" s="147"/>
      <c r="D33" s="14"/>
      <c r="E33" s="14"/>
      <c r="F33" s="716"/>
      <c r="G33" s="716"/>
    </row>
    <row r="34" spans="1:11" s="71" customFormat="1" ht="16.350000000000001" customHeight="1">
      <c r="A34" s="279" t="s">
        <v>171</v>
      </c>
      <c r="B34" s="43" t="s">
        <v>164</v>
      </c>
      <c r="C34" s="59"/>
      <c r="D34" s="59"/>
      <c r="E34" s="59"/>
      <c r="F34" s="59">
        <v>0</v>
      </c>
      <c r="G34" s="59">
        <v>0</v>
      </c>
      <c r="H34" s="643"/>
      <c r="I34" s="464" t="s">
        <v>165</v>
      </c>
      <c r="J34" s="110"/>
    </row>
    <row r="35" spans="1:11" s="71" customFormat="1" ht="16.350000000000001" customHeight="1">
      <c r="A35" s="279" t="s">
        <v>172</v>
      </c>
      <c r="B35" s="43" t="s">
        <v>164</v>
      </c>
      <c r="C35" s="59"/>
      <c r="D35" s="59"/>
      <c r="E35" s="59"/>
      <c r="F35" s="260">
        <v>408.12</v>
      </c>
      <c r="G35" s="260">
        <v>765.32</v>
      </c>
      <c r="H35" s="641"/>
      <c r="I35" s="464" t="s">
        <v>165</v>
      </c>
      <c r="J35" s="110"/>
    </row>
    <row r="36" spans="1:11" s="71" customFormat="1" ht="16.350000000000001" customHeight="1">
      <c r="A36" s="279" t="s">
        <v>173</v>
      </c>
      <c r="B36" s="43" t="s">
        <v>164</v>
      </c>
      <c r="C36" s="260"/>
      <c r="D36" s="260"/>
      <c r="E36" s="260"/>
      <c r="F36" s="260">
        <v>47.722000000000001</v>
      </c>
      <c r="G36" s="260">
        <v>49.84</v>
      </c>
      <c r="H36" s="545"/>
      <c r="I36" s="464" t="s">
        <v>165</v>
      </c>
      <c r="J36" s="110"/>
    </row>
    <row r="37" spans="1:11" s="71" customFormat="1" ht="16.350000000000001" customHeight="1">
      <c r="A37" s="279" t="s">
        <v>174</v>
      </c>
      <c r="B37" s="43" t="s">
        <v>164</v>
      </c>
      <c r="C37" s="59"/>
      <c r="D37" s="59"/>
      <c r="E37" s="260"/>
      <c r="F37" s="260">
        <v>561.01400000000001</v>
      </c>
      <c r="G37" s="260">
        <v>702.14</v>
      </c>
      <c r="H37" s="545"/>
      <c r="I37" s="464" t="s">
        <v>165</v>
      </c>
      <c r="J37" s="110"/>
    </row>
    <row r="38" spans="1:11" s="71" customFormat="1" ht="16.350000000000001" customHeight="1">
      <c r="A38" s="279" t="s">
        <v>175</v>
      </c>
      <c r="B38" s="43" t="s">
        <v>164</v>
      </c>
      <c r="C38" s="59"/>
      <c r="D38" s="59"/>
      <c r="E38" s="59"/>
      <c r="F38" s="59">
        <v>0</v>
      </c>
      <c r="G38" s="59">
        <v>0</v>
      </c>
      <c r="H38" s="110"/>
      <c r="I38" s="464" t="s">
        <v>165</v>
      </c>
      <c r="J38" s="110"/>
    </row>
    <row r="39" spans="1:11" ht="16.350000000000001" customHeight="1">
      <c r="A39" s="741" t="s">
        <v>450</v>
      </c>
      <c r="H39" s="646"/>
    </row>
    <row r="40" spans="1:11" ht="66" customHeight="1">
      <c r="A40" s="1015" t="s">
        <v>796</v>
      </c>
      <c r="B40" s="1016"/>
      <c r="C40" s="1016"/>
      <c r="D40" s="1016"/>
      <c r="E40" s="1016"/>
      <c r="F40" s="1016"/>
      <c r="G40" s="1016"/>
      <c r="H40" s="646"/>
    </row>
    <row r="42" spans="1:11" ht="35.1" customHeight="1">
      <c r="A42" s="82" t="s">
        <v>176</v>
      </c>
      <c r="B42" s="87"/>
      <c r="C42" s="87"/>
      <c r="D42" s="87"/>
      <c r="E42" s="87"/>
      <c r="F42" s="87"/>
      <c r="G42" s="87"/>
      <c r="H42" s="744"/>
    </row>
    <row r="43" spans="1:11" s="71" customFormat="1" ht="16.350000000000001" customHeight="1">
      <c r="A43" s="381" t="s">
        <v>143</v>
      </c>
      <c r="B43" s="198" t="s">
        <v>66</v>
      </c>
      <c r="C43" s="384"/>
      <c r="D43" s="384"/>
      <c r="E43" s="384"/>
      <c r="F43" s="384">
        <v>2023</v>
      </c>
      <c r="G43" s="384">
        <v>2024</v>
      </c>
      <c r="H43" s="105"/>
      <c r="I43" s="643"/>
    </row>
    <row r="44" spans="1:11" s="71" customFormat="1" ht="16.350000000000001" customHeight="1">
      <c r="A44" s="385" t="s">
        <v>94</v>
      </c>
      <c r="B44" s="343" t="s">
        <v>145</v>
      </c>
      <c r="C44" s="331"/>
      <c r="D44" s="331"/>
      <c r="E44" s="770"/>
      <c r="F44" s="770">
        <f>F45+F46</f>
        <v>183.048</v>
      </c>
      <c r="G44" s="770">
        <f>G45+G46</f>
        <v>186.435</v>
      </c>
      <c r="H44" s="465" t="s">
        <v>146</v>
      </c>
      <c r="I44" s="643"/>
      <c r="J44" s="110"/>
    </row>
    <row r="45" spans="1:11" s="71" customFormat="1" ht="16.350000000000001" customHeight="1">
      <c r="A45" s="595" t="s">
        <v>177</v>
      </c>
      <c r="B45" s="343" t="s">
        <v>145</v>
      </c>
      <c r="C45" s="302"/>
      <c r="D45" s="302"/>
      <c r="E45" s="267"/>
      <c r="F45" s="260">
        <v>179.90299999999999</v>
      </c>
      <c r="G45" s="260">
        <v>183.256</v>
      </c>
      <c r="H45" s="465" t="s">
        <v>146</v>
      </c>
      <c r="J45" s="110"/>
    </row>
    <row r="46" spans="1:11" s="71" customFormat="1" ht="16.350000000000001" customHeight="1">
      <c r="A46" s="595" t="s">
        <v>178</v>
      </c>
      <c r="B46" s="343" t="s">
        <v>145</v>
      </c>
      <c r="C46" s="332"/>
      <c r="D46" s="332"/>
      <c r="E46" s="717"/>
      <c r="F46" s="717">
        <v>3.145</v>
      </c>
      <c r="G46" s="717">
        <v>3.1789999999999998</v>
      </c>
      <c r="H46" s="465" t="s">
        <v>146</v>
      </c>
      <c r="J46" s="110"/>
    </row>
    <row r="47" spans="1:11" s="71" customFormat="1" ht="16.350000000000001" customHeight="1">
      <c r="A47" s="386" t="s">
        <v>179</v>
      </c>
      <c r="B47" s="343" t="s">
        <v>145</v>
      </c>
      <c r="C47" s="331"/>
      <c r="D47" s="331"/>
      <c r="E47" s="770"/>
      <c r="F47" s="770">
        <f>F48+F51+F52+F53</f>
        <v>288.13799999999998</v>
      </c>
      <c r="G47" s="770">
        <f>G48+G51+G52+G53</f>
        <v>272.08800000000002</v>
      </c>
      <c r="H47" s="465" t="s">
        <v>146</v>
      </c>
      <c r="J47" s="110"/>
    </row>
    <row r="48" spans="1:11" s="71" customFormat="1" ht="16.350000000000001" customHeight="1">
      <c r="A48" s="342" t="s">
        <v>180</v>
      </c>
      <c r="B48" s="343" t="s">
        <v>145</v>
      </c>
      <c r="C48" s="280"/>
      <c r="D48" s="280"/>
      <c r="E48" s="260"/>
      <c r="F48" s="260">
        <f>F49+F50</f>
        <v>200.55499999999998</v>
      </c>
      <c r="G48" s="260">
        <f>G49+G50</f>
        <v>187.34700000000001</v>
      </c>
      <c r="H48" s="465" t="s">
        <v>146</v>
      </c>
      <c r="I48" s="242"/>
      <c r="J48" s="253"/>
      <c r="K48" s="242"/>
    </row>
    <row r="49" spans="1:12" s="71" customFormat="1" ht="16.350000000000001" customHeight="1">
      <c r="A49" s="595" t="s">
        <v>181</v>
      </c>
      <c r="B49" s="343" t="s">
        <v>145</v>
      </c>
      <c r="C49" s="280"/>
      <c r="D49" s="280"/>
      <c r="E49" s="260"/>
      <c r="F49" s="241">
        <v>168.62899999999999</v>
      </c>
      <c r="G49" s="241">
        <v>152.55000000000001</v>
      </c>
      <c r="H49" s="465" t="s">
        <v>146</v>
      </c>
      <c r="I49" s="642"/>
      <c r="J49" s="110"/>
    </row>
    <row r="50" spans="1:12" s="71" customFormat="1" ht="16.350000000000001" customHeight="1">
      <c r="A50" s="595" t="s">
        <v>182</v>
      </c>
      <c r="B50" s="343" t="s">
        <v>145</v>
      </c>
      <c r="C50" s="280"/>
      <c r="D50" s="280"/>
      <c r="E50" s="260"/>
      <c r="F50" s="259">
        <v>31.925999999999998</v>
      </c>
      <c r="G50" s="259">
        <v>34.796999999999997</v>
      </c>
      <c r="H50" s="465" t="s">
        <v>146</v>
      </c>
      <c r="J50" s="110"/>
    </row>
    <row r="51" spans="1:12" s="71" customFormat="1" ht="16.350000000000001" customHeight="1">
      <c r="A51" s="596" t="s">
        <v>183</v>
      </c>
      <c r="B51" s="343" t="s">
        <v>145</v>
      </c>
      <c r="C51" s="320"/>
      <c r="D51" s="320"/>
      <c r="E51" s="227"/>
      <c r="F51" s="718">
        <v>7.4160000000000004</v>
      </c>
      <c r="G51" s="718">
        <v>7.9989999999999997</v>
      </c>
      <c r="H51" s="465" t="s">
        <v>146</v>
      </c>
      <c r="J51" s="110"/>
    </row>
    <row r="52" spans="1:12" s="71" customFormat="1" ht="16.350000000000001" customHeight="1">
      <c r="A52" s="596" t="s">
        <v>184</v>
      </c>
      <c r="B52" s="343" t="s">
        <v>145</v>
      </c>
      <c r="C52" s="280"/>
      <c r="D52" s="280"/>
      <c r="E52" s="260"/>
      <c r="F52" s="259">
        <v>78.864000000000004</v>
      </c>
      <c r="G52" s="259">
        <v>75.504000000000005</v>
      </c>
      <c r="H52" s="465" t="s">
        <v>146</v>
      </c>
      <c r="J52" s="110"/>
    </row>
    <row r="53" spans="1:12" s="71" customFormat="1" ht="16.350000000000001" customHeight="1">
      <c r="A53" s="596" t="s">
        <v>185</v>
      </c>
      <c r="B53" s="281" t="s">
        <v>145</v>
      </c>
      <c r="C53" s="280"/>
      <c r="D53" s="280"/>
      <c r="E53" s="260"/>
      <c r="F53" s="259">
        <v>1.3029999999999999</v>
      </c>
      <c r="G53" s="259">
        <v>1.238</v>
      </c>
      <c r="H53" s="465" t="s">
        <v>146</v>
      </c>
      <c r="J53" s="110"/>
    </row>
    <row r="54" spans="1:12">
      <c r="A54" s="183" t="s">
        <v>68</v>
      </c>
      <c r="B54" s="182"/>
      <c r="C54" s="197"/>
      <c r="D54" s="196"/>
      <c r="E54" s="196"/>
      <c r="F54" s="196"/>
      <c r="G54" s="196"/>
    </row>
    <row r="55" spans="1:12" ht="47.25" customHeight="1">
      <c r="A55" s="1014" t="s">
        <v>837</v>
      </c>
      <c r="B55" s="1014"/>
      <c r="C55" s="1014"/>
      <c r="D55" s="1014"/>
      <c r="E55" s="1014"/>
      <c r="F55" s="1014"/>
      <c r="G55" s="1014"/>
      <c r="H55" s="639"/>
    </row>
    <row r="57" spans="1:12" ht="35.1" customHeight="1">
      <c r="A57" s="82" t="s">
        <v>186</v>
      </c>
      <c r="B57" s="87"/>
      <c r="C57" s="87"/>
      <c r="D57" s="87"/>
      <c r="E57" s="87"/>
      <c r="F57" s="87"/>
      <c r="G57" s="87"/>
      <c r="L57" s="134"/>
    </row>
    <row r="58" spans="1:12" s="71" customFormat="1" ht="15">
      <c r="A58" s="381" t="s">
        <v>143</v>
      </c>
      <c r="B58" s="198" t="s">
        <v>66</v>
      </c>
      <c r="C58" s="384">
        <v>2020</v>
      </c>
      <c r="D58" s="420">
        <v>2021</v>
      </c>
      <c r="E58" s="420">
        <v>2022</v>
      </c>
      <c r="F58" s="384">
        <v>2023</v>
      </c>
      <c r="G58" s="384">
        <v>2024</v>
      </c>
      <c r="H58" s="101"/>
    </row>
    <row r="59" spans="1:12" s="71" customFormat="1" ht="16.350000000000001" customHeight="1">
      <c r="A59" s="692" t="s">
        <v>94</v>
      </c>
      <c r="B59" s="693" t="s">
        <v>187</v>
      </c>
      <c r="C59" s="268">
        <v>0.247</v>
      </c>
      <c r="D59" s="268">
        <v>0.247</v>
      </c>
      <c r="E59" s="179">
        <v>0.26600000000000001</v>
      </c>
      <c r="F59" s="43">
        <v>0.255</v>
      </c>
      <c r="G59" s="268">
        <v>0.26500000000000001</v>
      </c>
      <c r="H59" s="465" t="s">
        <v>188</v>
      </c>
      <c r="I59" s="464" t="s">
        <v>189</v>
      </c>
      <c r="J59" s="447" t="s">
        <v>27</v>
      </c>
    </row>
    <row r="60" spans="1:12" s="71" customFormat="1" ht="45" customHeight="1">
      <c r="A60" s="694" t="s">
        <v>190</v>
      </c>
      <c r="B60" s="690" t="s">
        <v>191</v>
      </c>
      <c r="C60" s="958"/>
      <c r="D60" s="959"/>
      <c r="E60" s="960"/>
      <c r="F60" s="236">
        <v>3.8</v>
      </c>
      <c r="G60" s="236">
        <v>3.8</v>
      </c>
      <c r="H60" s="465" t="s">
        <v>188</v>
      </c>
      <c r="I60" s="465" t="s">
        <v>189</v>
      </c>
      <c r="J60" s="447" t="s">
        <v>27</v>
      </c>
    </row>
    <row r="61" spans="1:12" s="71" customFormat="1" ht="41.1" customHeight="1">
      <c r="A61" s="696" t="s">
        <v>177</v>
      </c>
      <c r="B61" s="693" t="s">
        <v>191</v>
      </c>
      <c r="C61" s="959"/>
      <c r="D61" s="959"/>
      <c r="E61" s="960"/>
      <c r="F61" s="236">
        <v>3.8</v>
      </c>
      <c r="G61" s="236">
        <v>3.7</v>
      </c>
      <c r="H61" s="465" t="s">
        <v>188</v>
      </c>
      <c r="I61" s="465" t="s">
        <v>189</v>
      </c>
      <c r="J61" s="447" t="s">
        <v>27</v>
      </c>
    </row>
    <row r="62" spans="1:12" s="71" customFormat="1" ht="46.35" customHeight="1">
      <c r="A62" s="697" t="s">
        <v>178</v>
      </c>
      <c r="B62" s="698" t="s">
        <v>191</v>
      </c>
      <c r="C62" s="961"/>
      <c r="D62" s="961"/>
      <c r="E62" s="962"/>
      <c r="F62" s="695">
        <v>3.9</v>
      </c>
      <c r="G62" s="695">
        <v>3.9</v>
      </c>
      <c r="H62" s="465" t="s">
        <v>188</v>
      </c>
      <c r="I62" s="465" t="s">
        <v>189</v>
      </c>
      <c r="J62" s="105"/>
    </row>
    <row r="63" spans="1:12" s="71" customFormat="1" ht="36">
      <c r="A63" s="691" t="s">
        <v>192</v>
      </c>
      <c r="B63" s="699" t="s">
        <v>193</v>
      </c>
      <c r="C63" s="963"/>
      <c r="D63" s="963"/>
      <c r="E63" s="963"/>
      <c r="F63" s="43">
        <v>4</v>
      </c>
      <c r="G63" s="43">
        <v>3.8</v>
      </c>
      <c r="H63" s="465" t="s">
        <v>188</v>
      </c>
      <c r="I63" s="464" t="s">
        <v>189</v>
      </c>
      <c r="J63" s="447" t="s">
        <v>27</v>
      </c>
    </row>
    <row r="64" spans="1:12" ht="16.350000000000001" customHeight="1">
      <c r="A64" s="1012" t="s">
        <v>194</v>
      </c>
      <c r="B64" s="1012"/>
      <c r="C64" s="1012"/>
      <c r="D64" s="1012"/>
      <c r="E64" s="184"/>
      <c r="F64" s="184"/>
      <c r="G64" s="184"/>
    </row>
    <row r="65" spans="1:11" ht="55.35" customHeight="1">
      <c r="A65" s="1008" t="s">
        <v>797</v>
      </c>
      <c r="B65" s="1008"/>
      <c r="C65" s="1008"/>
      <c r="D65" s="1008"/>
      <c r="E65" s="1008"/>
      <c r="F65" s="1008"/>
      <c r="G65" s="1008"/>
    </row>
    <row r="66" spans="1:11" ht="16.350000000000001" customHeight="1">
      <c r="A66" s="39"/>
      <c r="B66" s="39"/>
    </row>
    <row r="67" spans="1:11" ht="35.1" customHeight="1">
      <c r="A67" s="82" t="s">
        <v>195</v>
      </c>
      <c r="B67" s="87"/>
      <c r="C67" s="87"/>
      <c r="D67" s="87"/>
      <c r="E67" s="87"/>
      <c r="F67" s="87"/>
      <c r="G67" s="87"/>
      <c r="K67" s="105"/>
    </row>
    <row r="68" spans="1:11" s="71" customFormat="1" ht="16.350000000000001" customHeight="1">
      <c r="A68" s="381" t="s">
        <v>143</v>
      </c>
      <c r="B68" s="211" t="s">
        <v>66</v>
      </c>
      <c r="C68" s="421"/>
      <c r="D68" s="422"/>
      <c r="E68" s="425"/>
      <c r="F68" s="425">
        <v>2023</v>
      </c>
      <c r="G68" s="422">
        <v>2024</v>
      </c>
      <c r="H68" s="105"/>
    </row>
    <row r="69" spans="1:11" s="71" customFormat="1" ht="16.350000000000001" customHeight="1">
      <c r="A69" s="786" t="s">
        <v>195</v>
      </c>
      <c r="B69" s="179" t="s">
        <v>196</v>
      </c>
      <c r="C69" s="282"/>
      <c r="D69" s="42"/>
      <c r="E69" s="42"/>
      <c r="F69" s="43">
        <v>94.3</v>
      </c>
      <c r="G69" s="43">
        <v>94.2</v>
      </c>
      <c r="H69" s="110"/>
      <c r="I69" s="464" t="s">
        <v>197</v>
      </c>
      <c r="J69" s="110"/>
    </row>
    <row r="70" spans="1:11" ht="16.350000000000001" customHeight="1">
      <c r="A70" s="158" t="s">
        <v>79</v>
      </c>
      <c r="B70" s="159"/>
      <c r="C70" s="160"/>
    </row>
    <row r="71" spans="1:11" ht="57.75" customHeight="1">
      <c r="A71" s="1009" t="s">
        <v>798</v>
      </c>
      <c r="B71" s="1009"/>
      <c r="C71" s="1009"/>
      <c r="D71" s="1009"/>
      <c r="E71" s="1009"/>
      <c r="F71" s="1009"/>
      <c r="G71" s="1009"/>
    </row>
    <row r="72" spans="1:11" ht="16.350000000000001" customHeight="1">
      <c r="A72" s="678"/>
      <c r="B72" s="678"/>
      <c r="C72" s="678"/>
      <c r="D72" s="678"/>
      <c r="E72" s="678"/>
      <c r="F72" s="678"/>
      <c r="G72" s="678"/>
    </row>
    <row r="73" spans="1:11" ht="16.350000000000001" customHeight="1">
      <c r="A73" s="681" t="s">
        <v>198</v>
      </c>
      <c r="B73" s="114"/>
      <c r="C73" s="114"/>
      <c r="D73" s="114"/>
      <c r="E73" s="114"/>
      <c r="F73" s="114"/>
      <c r="G73" s="114"/>
    </row>
    <row r="74" spans="1:11" ht="35.1" customHeight="1">
      <c r="A74" s="82" t="s">
        <v>199</v>
      </c>
      <c r="B74" s="87"/>
      <c r="C74" s="87"/>
      <c r="D74" s="87"/>
      <c r="E74" s="87"/>
      <c r="F74" s="87"/>
      <c r="G74" s="87"/>
      <c r="H74" s="639"/>
    </row>
    <row r="75" spans="1:11" s="71" customFormat="1" ht="15">
      <c r="A75" s="381" t="s">
        <v>143</v>
      </c>
      <c r="B75" s="198" t="s">
        <v>66</v>
      </c>
      <c r="C75" s="423">
        <v>2020</v>
      </c>
      <c r="D75" s="422">
        <v>2021</v>
      </c>
      <c r="E75" s="422">
        <v>2022</v>
      </c>
      <c r="F75" s="422">
        <v>2023</v>
      </c>
      <c r="G75" s="422">
        <v>2024</v>
      </c>
      <c r="H75" s="105"/>
    </row>
    <row r="76" spans="1:11" s="71" customFormat="1" ht="30">
      <c r="A76" s="686" t="s">
        <v>200</v>
      </c>
      <c r="B76" s="33" t="s">
        <v>164</v>
      </c>
      <c r="C76" s="675">
        <f t="shared" ref="C76:D76" si="0">C78+C79+C80</f>
        <v>836</v>
      </c>
      <c r="D76" s="675">
        <f t="shared" si="0"/>
        <v>1020.4000000000001</v>
      </c>
      <c r="E76" s="675">
        <f>E78+E79+E80</f>
        <v>1071</v>
      </c>
      <c r="F76" s="675">
        <f>F78+F79+F80</f>
        <v>2119.9809999999998</v>
      </c>
      <c r="G76" s="675">
        <v>1977.4</v>
      </c>
      <c r="H76" s="632"/>
      <c r="I76" s="110"/>
      <c r="J76" s="110"/>
    </row>
    <row r="77" spans="1:11" s="71" customFormat="1" ht="15">
      <c r="A77" s="685" t="s">
        <v>201</v>
      </c>
      <c r="B77" s="33"/>
      <c r="C77" s="675"/>
      <c r="D77" s="675"/>
      <c r="E77" s="675"/>
      <c r="F77" s="675"/>
      <c r="G77" s="675"/>
      <c r="H77" s="632"/>
      <c r="I77" s="110"/>
      <c r="J77" s="110"/>
    </row>
    <row r="78" spans="1:11" s="71" customFormat="1" ht="15">
      <c r="A78" s="687" t="s">
        <v>202</v>
      </c>
      <c r="B78" s="32" t="s">
        <v>164</v>
      </c>
      <c r="C78" s="556">
        <v>211</v>
      </c>
      <c r="D78" s="557">
        <v>203.7</v>
      </c>
      <c r="E78" s="557">
        <v>214</v>
      </c>
      <c r="F78" s="719">
        <v>1007.4450000000001</v>
      </c>
      <c r="G78" s="719">
        <v>826</v>
      </c>
      <c r="H78" s="110"/>
      <c r="I78" s="110"/>
      <c r="J78" s="110"/>
      <c r="K78" s="53"/>
    </row>
    <row r="79" spans="1:11" s="71" customFormat="1" ht="15">
      <c r="A79" s="687" t="s">
        <v>203</v>
      </c>
      <c r="B79" s="32" t="s">
        <v>164</v>
      </c>
      <c r="C79" s="556">
        <v>26</v>
      </c>
      <c r="D79" s="557">
        <v>27</v>
      </c>
      <c r="E79" s="557">
        <v>50</v>
      </c>
      <c r="F79" s="557">
        <v>51.62</v>
      </c>
      <c r="G79" s="557">
        <v>53</v>
      </c>
      <c r="H79" s="110"/>
      <c r="I79" s="110"/>
      <c r="J79" s="110"/>
    </row>
    <row r="80" spans="1:11" s="71" customFormat="1" ht="15">
      <c r="A80" s="687" t="s">
        <v>204</v>
      </c>
      <c r="B80" s="32" t="s">
        <v>164</v>
      </c>
      <c r="C80" s="556">
        <v>599</v>
      </c>
      <c r="D80" s="557">
        <v>789.7</v>
      </c>
      <c r="E80" s="557">
        <v>807</v>
      </c>
      <c r="F80" s="719">
        <v>1060.9159999999999</v>
      </c>
      <c r="G80" s="719">
        <v>1098</v>
      </c>
      <c r="H80" s="110"/>
      <c r="I80" s="110"/>
      <c r="J80" s="110"/>
    </row>
    <row r="81" spans="1:11" s="71" customFormat="1" ht="15">
      <c r="A81" s="685" t="s">
        <v>205</v>
      </c>
      <c r="B81" s="597"/>
      <c r="C81" s="556"/>
      <c r="D81" s="557"/>
      <c r="E81" s="557"/>
      <c r="F81" s="719"/>
      <c r="G81" s="719"/>
      <c r="H81" s="110"/>
      <c r="I81" s="110"/>
      <c r="J81" s="110"/>
    </row>
    <row r="82" spans="1:11" s="71" customFormat="1" ht="12.75">
      <c r="A82" s="92" t="s">
        <v>206</v>
      </c>
      <c r="B82" s="33" t="s">
        <v>164</v>
      </c>
      <c r="C82" s="33">
        <v>625</v>
      </c>
      <c r="D82" s="557">
        <f>D79+D80</f>
        <v>816.7</v>
      </c>
      <c r="E82" s="557">
        <f>E79+E80</f>
        <v>857</v>
      </c>
      <c r="F82" s="719">
        <v>1873.885</v>
      </c>
      <c r="G82" s="719">
        <v>1964</v>
      </c>
      <c r="H82" s="545"/>
      <c r="I82" s="110"/>
      <c r="J82" s="110"/>
    </row>
    <row r="83" spans="1:11" s="71" customFormat="1" ht="12.75">
      <c r="A83" s="92" t="s">
        <v>207</v>
      </c>
      <c r="B83" s="33" t="s">
        <v>164</v>
      </c>
      <c r="C83" s="32">
        <v>211</v>
      </c>
      <c r="D83" s="557">
        <f>D78</f>
        <v>203.7</v>
      </c>
      <c r="E83" s="557">
        <f>E78</f>
        <v>214</v>
      </c>
      <c r="F83" s="557">
        <v>246.12799999999999</v>
      </c>
      <c r="G83" s="557">
        <v>13</v>
      </c>
      <c r="H83" s="110"/>
      <c r="I83" s="110"/>
      <c r="J83" s="110"/>
    </row>
    <row r="84" spans="1:11" s="71" customFormat="1" ht="47.1" customHeight="1">
      <c r="A84" s="92" t="s">
        <v>208</v>
      </c>
      <c r="B84" s="32" t="s">
        <v>164</v>
      </c>
      <c r="C84" s="652">
        <v>24219</v>
      </c>
      <c r="D84" s="652">
        <v>22972</v>
      </c>
      <c r="E84" s="652">
        <v>24588</v>
      </c>
      <c r="F84" s="652">
        <v>43388.976000000002</v>
      </c>
      <c r="G84" s="652">
        <v>44730</v>
      </c>
      <c r="H84" s="110"/>
      <c r="I84" s="110"/>
      <c r="J84" s="110"/>
      <c r="K84" s="53"/>
    </row>
    <row r="85" spans="1:11" s="71" customFormat="1" ht="35.1" customHeight="1">
      <c r="A85" s="92" t="s">
        <v>209</v>
      </c>
      <c r="B85" s="32" t="s">
        <v>90</v>
      </c>
      <c r="C85" s="824">
        <f>C76/C84*100</f>
        <v>3.4518353358933074</v>
      </c>
      <c r="D85" s="824">
        <f>D76/D84*100</f>
        <v>4.4419293052411639</v>
      </c>
      <c r="E85" s="824">
        <f>E76/E84*100</f>
        <v>4.3557833089311861</v>
      </c>
      <c r="F85" s="825">
        <f t="shared" ref="F85:G85" si="1">F76/F84*100</f>
        <v>4.8859899344017705</v>
      </c>
      <c r="G85" s="825">
        <f t="shared" si="1"/>
        <v>4.4207467024368441</v>
      </c>
      <c r="H85" s="110"/>
      <c r="I85" s="110"/>
      <c r="J85" s="110"/>
    </row>
    <row r="86" spans="1:11">
      <c r="A86" s="81" t="s">
        <v>68</v>
      </c>
      <c r="B86" s="27"/>
      <c r="C86" s="180"/>
      <c r="D86" s="180"/>
      <c r="E86" s="180"/>
      <c r="F86" s="180"/>
      <c r="G86" s="180"/>
      <c r="H86" s="133"/>
    </row>
    <row r="87" spans="1:11" ht="52.35" customHeight="1">
      <c r="A87" s="1005" t="s">
        <v>846</v>
      </c>
      <c r="B87" s="1005"/>
      <c r="C87" s="1005"/>
      <c r="D87" s="1005"/>
      <c r="E87" s="1005"/>
      <c r="F87" s="1005"/>
      <c r="G87" s="1005"/>
      <c r="H87"/>
    </row>
    <row r="88" spans="1:11" ht="16.350000000000001" customHeight="1">
      <c r="A88" s="56"/>
      <c r="B88" s="56"/>
      <c r="H88" s="122"/>
    </row>
    <row r="89" spans="1:11" ht="35.1" customHeight="1">
      <c r="A89" s="82" t="s">
        <v>210</v>
      </c>
      <c r="B89" s="76"/>
      <c r="C89" s="76"/>
      <c r="D89" s="76"/>
      <c r="E89" s="76"/>
      <c r="F89" s="76"/>
      <c r="G89" s="76"/>
      <c r="K89" s="181"/>
    </row>
    <row r="90" spans="1:11" s="71" customFormat="1" ht="15">
      <c r="A90" s="381" t="s">
        <v>143</v>
      </c>
      <c r="B90" s="198" t="s">
        <v>66</v>
      </c>
      <c r="C90" s="423">
        <v>2020</v>
      </c>
      <c r="D90" s="422">
        <v>2021</v>
      </c>
      <c r="E90" s="425">
        <v>2022</v>
      </c>
      <c r="F90" s="425">
        <v>2023</v>
      </c>
      <c r="G90" s="422">
        <v>2024</v>
      </c>
      <c r="H90" s="101"/>
    </row>
    <row r="91" spans="1:11" s="71" customFormat="1" ht="22.5">
      <c r="A91" s="342" t="s">
        <v>211</v>
      </c>
      <c r="B91" s="343" t="s">
        <v>212</v>
      </c>
      <c r="C91" s="344">
        <v>1865</v>
      </c>
      <c r="D91" s="344">
        <v>2023</v>
      </c>
      <c r="E91" s="459">
        <v>200</v>
      </c>
      <c r="F91" s="968">
        <v>804</v>
      </c>
      <c r="G91" s="966">
        <v>804</v>
      </c>
      <c r="H91"/>
      <c r="I91" s="110"/>
      <c r="J91" s="462" t="s">
        <v>213</v>
      </c>
    </row>
    <row r="92" spans="1:11" s="71" customFormat="1" ht="25.5">
      <c r="A92" s="345" t="s">
        <v>799</v>
      </c>
      <c r="B92" s="967" t="s">
        <v>90</v>
      </c>
      <c r="C92" s="966">
        <v>37</v>
      </c>
      <c r="D92" s="966">
        <v>18</v>
      </c>
      <c r="E92" s="966">
        <v>1.8</v>
      </c>
      <c r="F92" s="966">
        <v>4</v>
      </c>
      <c r="G92" s="966">
        <v>5</v>
      </c>
      <c r="H92" s="464" t="s">
        <v>215</v>
      </c>
      <c r="I92"/>
      <c r="J92" s="799"/>
    </row>
    <row r="93" spans="1:11" s="71" customFormat="1" ht="25.5">
      <c r="A93" s="345" t="s">
        <v>214</v>
      </c>
      <c r="B93" s="346" t="s">
        <v>90</v>
      </c>
      <c r="C93" s="559">
        <v>14</v>
      </c>
      <c r="D93" s="559">
        <v>14</v>
      </c>
      <c r="E93" s="560">
        <v>15</v>
      </c>
      <c r="F93" s="560">
        <v>11</v>
      </c>
      <c r="G93" s="795">
        <v>5.3</v>
      </c>
      <c r="H93" s="464" t="s">
        <v>215</v>
      </c>
      <c r="I93" s="110"/>
      <c r="J93" s="110"/>
    </row>
    <row r="94" spans="1:11" ht="16.350000000000001" customHeight="1">
      <c r="A94" s="1019" t="s">
        <v>114</v>
      </c>
      <c r="B94" s="1019"/>
      <c r="C94" s="1019"/>
      <c r="D94" s="1019"/>
      <c r="E94" s="457"/>
      <c r="F94" s="457"/>
      <c r="G94" s="457"/>
    </row>
    <row r="95" spans="1:11" ht="38.25" customHeight="1">
      <c r="A95" s="1008" t="s">
        <v>836</v>
      </c>
      <c r="B95" s="1008"/>
      <c r="C95" s="1008"/>
      <c r="D95" s="1008"/>
      <c r="E95" s="1008"/>
      <c r="F95" s="1008"/>
      <c r="G95" s="1008"/>
      <c r="H95" s="969"/>
    </row>
    <row r="96" spans="1:11" ht="44.1" customHeight="1">
      <c r="A96" s="1008" t="s">
        <v>847</v>
      </c>
      <c r="B96" s="1008"/>
      <c r="C96" s="1008"/>
      <c r="D96" s="1008"/>
      <c r="E96" s="1008"/>
      <c r="F96" s="1008"/>
      <c r="G96" s="1008"/>
      <c r="H96"/>
    </row>
    <row r="97" spans="1:10" ht="66.75" customHeight="1">
      <c r="A97" s="1008" t="s">
        <v>800</v>
      </c>
      <c r="B97" s="1008"/>
      <c r="C97" s="1008"/>
      <c r="D97" s="1008"/>
      <c r="E97" s="1008"/>
      <c r="F97" s="1008"/>
      <c r="G97" s="1008"/>
    </row>
    <row r="98" spans="1:10" ht="17.25" customHeight="1">
      <c r="A98" s="1022"/>
      <c r="B98" s="1022"/>
      <c r="C98" s="1022"/>
      <c r="D98" s="1022"/>
      <c r="E98" s="1022"/>
      <c r="F98" s="1022"/>
      <c r="G98" s="1022"/>
    </row>
    <row r="99" spans="1:10" ht="35.1" customHeight="1">
      <c r="A99" s="82" t="s">
        <v>216</v>
      </c>
      <c r="B99" s="76"/>
      <c r="C99" s="76"/>
      <c r="D99" s="76"/>
      <c r="E99" s="76"/>
      <c r="F99" s="76"/>
      <c r="G99" s="76"/>
    </row>
    <row r="100" spans="1:10" s="71" customFormat="1" ht="15">
      <c r="A100" s="381" t="s">
        <v>143</v>
      </c>
      <c r="B100" s="198" t="s">
        <v>66</v>
      </c>
      <c r="C100" s="199">
        <v>2020</v>
      </c>
      <c r="D100" s="199">
        <v>2021</v>
      </c>
      <c r="E100" s="199">
        <v>2022</v>
      </c>
      <c r="F100" s="199">
        <v>2023</v>
      </c>
      <c r="G100" s="199">
        <v>2024</v>
      </c>
      <c r="H100" s="105"/>
    </row>
    <row r="101" spans="1:10" s="71" customFormat="1" ht="62.1" customHeight="1">
      <c r="A101" s="99" t="s">
        <v>217</v>
      </c>
      <c r="B101" s="43" t="s">
        <v>90</v>
      </c>
      <c r="C101" s="43">
        <v>69</v>
      </c>
      <c r="D101" s="268">
        <v>68</v>
      </c>
      <c r="E101" s="268">
        <v>68</v>
      </c>
      <c r="F101" s="268">
        <v>71</v>
      </c>
      <c r="G101" s="268">
        <v>68</v>
      </c>
      <c r="H101" s="189"/>
      <c r="I101" s="110"/>
      <c r="J101" s="447" t="s">
        <v>27</v>
      </c>
    </row>
    <row r="102" spans="1:10" s="71" customFormat="1" ht="54" customHeight="1">
      <c r="A102" s="99" t="s">
        <v>218</v>
      </c>
      <c r="B102" s="43" t="s">
        <v>219</v>
      </c>
      <c r="C102" s="43"/>
      <c r="D102" s="268">
        <v>25</v>
      </c>
      <c r="E102" s="268">
        <v>24</v>
      </c>
      <c r="F102" s="268">
        <v>23</v>
      </c>
      <c r="G102" s="268">
        <v>21</v>
      </c>
      <c r="H102" s="110"/>
      <c r="I102" s="110"/>
      <c r="J102" s="447"/>
    </row>
    <row r="103" spans="1:10">
      <c r="A103" s="1018" t="s">
        <v>220</v>
      </c>
      <c r="B103" s="1018"/>
      <c r="C103" s="1018"/>
      <c r="D103" s="1018"/>
      <c r="E103" s="122"/>
      <c r="F103" s="122"/>
      <c r="G103" s="122"/>
    </row>
    <row r="104" spans="1:10" ht="60" customHeight="1">
      <c r="A104" s="1017" t="s">
        <v>221</v>
      </c>
      <c r="B104" s="1017"/>
      <c r="C104" s="1017"/>
      <c r="D104" s="1017"/>
      <c r="E104" s="1017"/>
      <c r="F104" s="1017"/>
      <c r="G104" s="1017"/>
    </row>
    <row r="105" spans="1:10" ht="56.25" customHeight="1">
      <c r="A105" s="1023" t="s">
        <v>848</v>
      </c>
      <c r="B105" s="1023"/>
      <c r="C105" s="1023"/>
      <c r="D105" s="1023"/>
      <c r="E105" s="1023"/>
      <c r="F105" s="1023"/>
      <c r="G105" s="1023"/>
      <c r="H105"/>
    </row>
    <row r="107" spans="1:10" ht="35.1" customHeight="1">
      <c r="A107" s="82" t="s">
        <v>222</v>
      </c>
      <c r="B107" s="95"/>
      <c r="C107" s="95"/>
      <c r="D107" s="15"/>
      <c r="E107" s="15"/>
      <c r="F107" s="15"/>
      <c r="G107" s="15"/>
    </row>
    <row r="108" spans="1:10" s="71" customFormat="1" ht="16.350000000000001" customHeight="1">
      <c r="A108" s="381" t="s">
        <v>143</v>
      </c>
      <c r="B108" s="198" t="s">
        <v>66</v>
      </c>
      <c r="C108" s="19">
        <v>2020</v>
      </c>
      <c r="D108" s="5">
        <v>2021</v>
      </c>
      <c r="E108" s="5">
        <v>2022</v>
      </c>
      <c r="F108" s="5">
        <v>2023</v>
      </c>
      <c r="G108" s="5">
        <v>2024</v>
      </c>
    </row>
    <row r="109" spans="1:10" s="71" customFormat="1" ht="16.350000000000001" customHeight="1">
      <c r="A109" s="79" t="s">
        <v>223</v>
      </c>
      <c r="B109" s="32" t="s">
        <v>212</v>
      </c>
      <c r="C109" s="274">
        <v>1261</v>
      </c>
      <c r="D109" s="274">
        <v>1387</v>
      </c>
      <c r="E109" s="274">
        <v>2637</v>
      </c>
      <c r="F109" s="274">
        <v>2314.9879999999998</v>
      </c>
      <c r="G109" s="274">
        <v>2164.6999999999998</v>
      </c>
      <c r="I109" s="110"/>
      <c r="J109" s="447" t="s">
        <v>27</v>
      </c>
    </row>
    <row r="110" spans="1:10" s="71" customFormat="1" ht="16.350000000000001" customHeight="1">
      <c r="A110" s="79" t="s">
        <v>103</v>
      </c>
      <c r="B110" s="32" t="s">
        <v>212</v>
      </c>
      <c r="C110" s="274"/>
      <c r="D110" s="274"/>
      <c r="E110" s="274"/>
      <c r="F110" s="274">
        <v>125.68899999999999</v>
      </c>
      <c r="G110" s="274">
        <v>148</v>
      </c>
      <c r="H110" s="632"/>
      <c r="I110" s="110"/>
      <c r="J110" s="447" t="s">
        <v>27</v>
      </c>
    </row>
    <row r="111" spans="1:10">
      <c r="A111" s="1018" t="s">
        <v>220</v>
      </c>
      <c r="B111" s="1018"/>
      <c r="C111" s="1018"/>
      <c r="D111" s="1018"/>
    </row>
    <row r="112" spans="1:10" ht="20.100000000000001" customHeight="1">
      <c r="A112" s="1017" t="s">
        <v>224</v>
      </c>
      <c r="B112" s="1017"/>
      <c r="C112" s="1017"/>
      <c r="D112" s="1017"/>
      <c r="E112" s="1017"/>
      <c r="F112" s="1017"/>
      <c r="G112" s="1017"/>
    </row>
    <row r="113" spans="1:10" ht="17.100000000000001" customHeight="1">
      <c r="A113" s="1021"/>
      <c r="B113" s="1021"/>
      <c r="C113" s="1021"/>
      <c r="D113" s="1021"/>
      <c r="E113" s="1021"/>
      <c r="F113" s="1021"/>
      <c r="G113" s="707"/>
    </row>
    <row r="114" spans="1:10" ht="35.1" customHeight="1">
      <c r="A114" s="82" t="s">
        <v>225</v>
      </c>
      <c r="B114" s="15"/>
      <c r="C114" s="15"/>
      <c r="D114" s="15"/>
      <c r="E114" s="15"/>
      <c r="F114" s="15"/>
      <c r="G114" s="15"/>
    </row>
    <row r="115" spans="1:10">
      <c r="A115" s="381" t="s">
        <v>143</v>
      </c>
      <c r="B115" s="198" t="s">
        <v>66</v>
      </c>
      <c r="C115" s="19"/>
      <c r="D115" s="5">
        <v>2021</v>
      </c>
      <c r="E115" s="5">
        <v>2022</v>
      </c>
      <c r="F115" s="5">
        <v>2023</v>
      </c>
      <c r="G115" s="5">
        <v>2024</v>
      </c>
    </row>
    <row r="116" spans="1:10">
      <c r="A116" s="42" t="s">
        <v>163</v>
      </c>
      <c r="B116" s="59" t="s">
        <v>226</v>
      </c>
      <c r="C116" s="43"/>
      <c r="D116" s="241"/>
      <c r="E116" s="241"/>
      <c r="F116" s="264">
        <f>F117+F118</f>
        <v>5540.3</v>
      </c>
      <c r="G116" s="311">
        <f>G117+G118</f>
        <v>5780.6750000000002</v>
      </c>
      <c r="J116" s="447" t="s">
        <v>27</v>
      </c>
    </row>
    <row r="117" spans="1:10">
      <c r="A117" s="79" t="s">
        <v>227</v>
      </c>
      <c r="B117" s="59" t="s">
        <v>226</v>
      </c>
      <c r="C117" s="43"/>
      <c r="D117" s="241">
        <v>3677</v>
      </c>
      <c r="E117" s="241">
        <v>5635</v>
      </c>
      <c r="F117" s="259">
        <v>5254.6</v>
      </c>
      <c r="G117" s="265">
        <v>5489</v>
      </c>
      <c r="J117" s="447" t="s">
        <v>27</v>
      </c>
    </row>
    <row r="118" spans="1:10">
      <c r="A118" s="79" t="s">
        <v>167</v>
      </c>
      <c r="B118" s="59" t="s">
        <v>226</v>
      </c>
      <c r="C118" s="43"/>
      <c r="D118" s="43"/>
      <c r="E118" s="43"/>
      <c r="F118" s="260">
        <v>285.7</v>
      </c>
      <c r="G118" s="280">
        <v>291.67500000000001</v>
      </c>
      <c r="J118" s="447" t="s">
        <v>27</v>
      </c>
    </row>
    <row r="119" spans="1:10">
      <c r="A119" s="14" t="s">
        <v>228</v>
      </c>
      <c r="B119" s="42"/>
      <c r="C119" s="43"/>
      <c r="D119" s="43"/>
      <c r="E119" s="43"/>
      <c r="F119" s="59"/>
      <c r="G119" s="59"/>
    </row>
    <row r="120" spans="1:10">
      <c r="A120" s="42" t="s">
        <v>229</v>
      </c>
      <c r="B120" s="43" t="s">
        <v>164</v>
      </c>
      <c r="C120" s="43"/>
      <c r="D120" s="268">
        <v>105</v>
      </c>
      <c r="E120" s="268">
        <v>410</v>
      </c>
      <c r="F120" s="260">
        <v>335.99099999999999</v>
      </c>
      <c r="G120" s="260">
        <v>282.57</v>
      </c>
      <c r="J120" s="447" t="s">
        <v>27</v>
      </c>
    </row>
    <row r="121" spans="1:10">
      <c r="A121" s="42" t="s">
        <v>230</v>
      </c>
      <c r="B121" s="43" t="s">
        <v>231</v>
      </c>
      <c r="C121" s="43"/>
      <c r="D121" s="268">
        <v>317</v>
      </c>
      <c r="E121" s="268">
        <v>445</v>
      </c>
      <c r="F121" s="267">
        <v>266.07299999999998</v>
      </c>
      <c r="G121" s="267">
        <v>59.65</v>
      </c>
      <c r="J121" s="447" t="s">
        <v>27</v>
      </c>
    </row>
    <row r="122" spans="1:10">
      <c r="A122" s="42" t="s">
        <v>232</v>
      </c>
      <c r="B122" s="43" t="s">
        <v>233</v>
      </c>
      <c r="C122" s="43"/>
      <c r="D122" s="268">
        <v>67</v>
      </c>
      <c r="E122" s="268">
        <v>79</v>
      </c>
      <c r="F122" s="267">
        <v>109.75700000000001</v>
      </c>
      <c r="G122" s="267">
        <v>154.03</v>
      </c>
      <c r="J122" s="447" t="s">
        <v>27</v>
      </c>
    </row>
    <row r="123" spans="1:10">
      <c r="A123" s="1020"/>
      <c r="B123" s="1020"/>
      <c r="C123" s="1020"/>
      <c r="D123" s="1020"/>
    </row>
    <row r="124" spans="1:10">
      <c r="G124" s="706"/>
    </row>
  </sheetData>
  <mergeCells count="21">
    <mergeCell ref="A104:G104"/>
    <mergeCell ref="A112:G112"/>
    <mergeCell ref="A103:D103"/>
    <mergeCell ref="A94:D94"/>
    <mergeCell ref="A123:D123"/>
    <mergeCell ref="A113:F113"/>
    <mergeCell ref="A111:D111"/>
    <mergeCell ref="A98:G98"/>
    <mergeCell ref="A105:G105"/>
    <mergeCell ref="A96:G96"/>
    <mergeCell ref="A97:G97"/>
    <mergeCell ref="A65:G65"/>
    <mergeCell ref="A71:G71"/>
    <mergeCell ref="A87:G87"/>
    <mergeCell ref="A95:G95"/>
    <mergeCell ref="A23:D23"/>
    <mergeCell ref="A64:D64"/>
    <mergeCell ref="A24:G24"/>
    <mergeCell ref="A25:G25"/>
    <mergeCell ref="A55:G55"/>
    <mergeCell ref="A40:G40"/>
  </mergeCells>
  <hyperlinks>
    <hyperlink ref="A2" location="'Energy'!A5" display="Показатели, рассчитываемые в границах учета парниковых газов" xr:uid="{9E541405-12D9-A742-B5A1-5E44CBEBC30E}"/>
    <hyperlink ref="A3" location="'Energy'!A73" display="Показатели, рассчитываемые в периметре Группы &quot;ЛУКОЙЛ&quot;" xr:uid="{5E786B33-4350-3E4E-A7D9-47C3409C4681}"/>
  </hyperlinks>
  <pageMargins left="0.70866141732283472" right="0.70866141732283472" top="0.74803149606299213" bottom="0.74803149606299213" header="0.31496062992125984" footer="0.31496062992125984"/>
  <pageSetup scale="77"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43"/>
  <sheetViews>
    <sheetView topLeftCell="A34" zoomScaleNormal="100" workbookViewId="0">
      <selection activeCell="J14" sqref="J14"/>
    </sheetView>
  </sheetViews>
  <sheetFormatPr defaultColWidth="11" defaultRowHeight="15.75"/>
  <cols>
    <col min="1" max="1" width="41.125" customWidth="1"/>
    <col min="2" max="8" width="10.625" customWidth="1"/>
    <col min="9" max="9" width="8.625" customWidth="1"/>
    <col min="10" max="10" width="10.625" customWidth="1"/>
  </cols>
  <sheetData>
    <row r="1" spans="1:12" ht="26.25" customHeight="1">
      <c r="A1" s="11" t="s">
        <v>234</v>
      </c>
      <c r="H1" s="540" t="s">
        <v>61</v>
      </c>
    </row>
    <row r="2" spans="1:12" ht="34.35" customHeight="1">
      <c r="A2" s="95" t="s">
        <v>235</v>
      </c>
      <c r="B2" s="95"/>
      <c r="C2" s="95"/>
      <c r="D2" s="15"/>
      <c r="E2" s="15"/>
      <c r="F2" s="15"/>
      <c r="G2" s="15"/>
      <c r="H2" s="132" t="s">
        <v>63</v>
      </c>
      <c r="I2" s="132" t="s">
        <v>25</v>
      </c>
      <c r="J2" s="132" t="s">
        <v>64</v>
      </c>
    </row>
    <row r="3" spans="1:12" s="71" customFormat="1" ht="15">
      <c r="A3" s="381" t="s">
        <v>143</v>
      </c>
      <c r="B3" s="198" t="s">
        <v>66</v>
      </c>
      <c r="C3" s="199">
        <v>2020</v>
      </c>
      <c r="D3" s="199">
        <v>2021</v>
      </c>
      <c r="E3" s="263">
        <v>2022</v>
      </c>
      <c r="F3" s="263">
        <v>2023</v>
      </c>
      <c r="G3" s="273">
        <v>2024</v>
      </c>
    </row>
    <row r="4" spans="1:12" s="71" customFormat="1" ht="51">
      <c r="A4" s="88" t="s">
        <v>236</v>
      </c>
      <c r="B4" s="43" t="s">
        <v>90</v>
      </c>
      <c r="C4" s="281">
        <v>82</v>
      </c>
      <c r="D4" s="281">
        <v>81</v>
      </c>
      <c r="E4" s="59">
        <v>85</v>
      </c>
      <c r="F4" s="281">
        <v>82</v>
      </c>
      <c r="G4" s="281">
        <v>86</v>
      </c>
      <c r="H4" s="465" t="s">
        <v>237</v>
      </c>
      <c r="I4" s="465" t="s">
        <v>238</v>
      </c>
      <c r="J4" s="447" t="s">
        <v>27</v>
      </c>
      <c r="L4" s="569"/>
    </row>
    <row r="5" spans="1:12" s="71" customFormat="1" ht="38.25">
      <c r="A5" s="99" t="s">
        <v>239</v>
      </c>
      <c r="B5" s="43" t="s">
        <v>801</v>
      </c>
      <c r="C5" s="281">
        <v>42</v>
      </c>
      <c r="D5" s="281">
        <v>44</v>
      </c>
      <c r="E5" s="59">
        <v>45</v>
      </c>
      <c r="F5" s="59">
        <v>43</v>
      </c>
      <c r="G5" s="281">
        <v>44</v>
      </c>
      <c r="H5" s="110"/>
      <c r="I5" s="465" t="s">
        <v>238</v>
      </c>
      <c r="J5" s="110"/>
    </row>
    <row r="6" spans="1:12" s="71" customFormat="1" ht="16.350000000000001" customHeight="1">
      <c r="A6" s="1025" t="s">
        <v>240</v>
      </c>
      <c r="B6" s="1026"/>
      <c r="C6" s="1026"/>
      <c r="D6" s="1026"/>
    </row>
    <row r="7" spans="1:12" ht="83.1" customHeight="1">
      <c r="A7" s="1030" t="s">
        <v>854</v>
      </c>
      <c r="B7" s="1030"/>
      <c r="C7" s="1030"/>
      <c r="D7" s="1030"/>
      <c r="E7" s="1030"/>
      <c r="F7" s="1030"/>
      <c r="G7" s="1030"/>
    </row>
    <row r="9" spans="1:12" ht="35.1" customHeight="1">
      <c r="A9" s="95" t="s">
        <v>241</v>
      </c>
      <c r="B9" s="95"/>
      <c r="C9" s="95"/>
      <c r="D9" s="15"/>
      <c r="E9" s="15"/>
      <c r="F9" s="15"/>
      <c r="G9" s="15"/>
    </row>
    <row r="10" spans="1:12" s="71" customFormat="1" ht="15">
      <c r="A10" s="381" t="s">
        <v>143</v>
      </c>
      <c r="B10" s="198" t="s">
        <v>66</v>
      </c>
      <c r="C10" s="198">
        <v>2020</v>
      </c>
      <c r="D10" s="199">
        <v>2021</v>
      </c>
      <c r="E10" s="263">
        <v>2022</v>
      </c>
      <c r="F10" s="263">
        <v>2023</v>
      </c>
      <c r="G10" s="273">
        <v>2024</v>
      </c>
    </row>
    <row r="11" spans="1:12" s="71" customFormat="1" ht="25.5">
      <c r="A11" s="36" t="s">
        <v>242</v>
      </c>
      <c r="B11" s="32" t="s">
        <v>219</v>
      </c>
      <c r="C11" s="32">
        <v>16</v>
      </c>
      <c r="D11" s="32">
        <v>17</v>
      </c>
      <c r="E11" s="43">
        <v>20</v>
      </c>
      <c r="F11" s="268">
        <v>14</v>
      </c>
      <c r="G11" s="268">
        <v>18</v>
      </c>
      <c r="H11" s="110"/>
      <c r="I11" s="465" t="s">
        <v>243</v>
      </c>
      <c r="J11" s="110"/>
    </row>
    <row r="12" spans="1:12" s="71" customFormat="1" ht="25.5">
      <c r="A12" s="35" t="s">
        <v>244</v>
      </c>
      <c r="B12" s="32" t="s">
        <v>219</v>
      </c>
      <c r="C12" s="32">
        <v>17</v>
      </c>
      <c r="D12" s="32">
        <v>19</v>
      </c>
      <c r="E12" s="43">
        <v>18</v>
      </c>
      <c r="F12" s="43">
        <v>21</v>
      </c>
      <c r="G12" s="43">
        <v>29</v>
      </c>
      <c r="H12" s="110"/>
      <c r="I12" s="465" t="s">
        <v>243</v>
      </c>
      <c r="J12" s="110"/>
    </row>
    <row r="13" spans="1:12" ht="16.350000000000001" customHeight="1">
      <c r="A13" s="1027" t="s">
        <v>245</v>
      </c>
      <c r="B13" s="1027"/>
      <c r="C13" s="1027"/>
      <c r="D13" s="1027"/>
    </row>
    <row r="14" spans="1:12" ht="39.75" customHeight="1">
      <c r="A14" s="1024" t="s">
        <v>849</v>
      </c>
      <c r="B14" s="1024"/>
      <c r="C14" s="1024"/>
      <c r="D14" s="1024"/>
      <c r="E14" s="1024"/>
      <c r="F14" s="1024"/>
      <c r="G14" s="1024"/>
    </row>
    <row r="16" spans="1:12" ht="35.1" customHeight="1">
      <c r="A16" s="95" t="s">
        <v>246</v>
      </c>
      <c r="B16" s="95"/>
      <c r="C16" s="95"/>
      <c r="D16" s="62"/>
      <c r="E16" s="62"/>
      <c r="F16" s="62"/>
      <c r="G16" s="62"/>
    </row>
    <row r="17" spans="1:10" s="71" customFormat="1" ht="15">
      <c r="A17" s="381" t="s">
        <v>143</v>
      </c>
      <c r="B17" s="198" t="s">
        <v>66</v>
      </c>
      <c r="C17" s="422">
        <v>2020</v>
      </c>
      <c r="D17" s="422">
        <v>2021</v>
      </c>
      <c r="E17" s="273">
        <v>2022</v>
      </c>
      <c r="F17" s="273">
        <v>2023</v>
      </c>
      <c r="G17" s="273">
        <v>2024</v>
      </c>
    </row>
    <row r="18" spans="1:10" s="71" customFormat="1" ht="12.75">
      <c r="A18" s="40" t="s">
        <v>163</v>
      </c>
      <c r="B18" s="32" t="s">
        <v>212</v>
      </c>
      <c r="C18" s="675">
        <f>C19+C21+C24</f>
        <v>53630</v>
      </c>
      <c r="D18" s="518">
        <f>D19+D21+D24</f>
        <v>54041</v>
      </c>
      <c r="E18" s="788">
        <f>E19+E21+E24</f>
        <v>54832</v>
      </c>
      <c r="F18" s="788">
        <f>F19+F21+F24</f>
        <v>68361</v>
      </c>
      <c r="G18" s="788">
        <f>G19+G21+G24</f>
        <v>84503.73</v>
      </c>
      <c r="H18" s="110"/>
      <c r="I18" s="110"/>
      <c r="J18" s="447" t="s">
        <v>27</v>
      </c>
    </row>
    <row r="19" spans="1:10" s="71" customFormat="1" ht="12.75">
      <c r="A19" s="40" t="s">
        <v>247</v>
      </c>
      <c r="B19" s="32" t="s">
        <v>212</v>
      </c>
      <c r="C19" s="675">
        <v>22440</v>
      </c>
      <c r="D19" s="518">
        <v>21384</v>
      </c>
      <c r="E19" s="788">
        <v>17914</v>
      </c>
      <c r="F19" s="788">
        <v>23277</v>
      </c>
      <c r="G19" s="788">
        <v>25021</v>
      </c>
      <c r="H19" s="110"/>
      <c r="I19" s="110"/>
      <c r="J19" s="464" t="s">
        <v>248</v>
      </c>
    </row>
    <row r="20" spans="1:10" s="71" customFormat="1" ht="12.75">
      <c r="A20" s="38" t="s">
        <v>249</v>
      </c>
      <c r="B20" s="32" t="s">
        <v>212</v>
      </c>
      <c r="C20" s="823">
        <v>17857</v>
      </c>
      <c r="D20" s="826">
        <v>14337</v>
      </c>
      <c r="E20" s="720">
        <v>12344</v>
      </c>
      <c r="F20" s="305">
        <v>15299</v>
      </c>
      <c r="G20" s="720">
        <v>16381</v>
      </c>
      <c r="H20" s="110"/>
      <c r="I20" s="110"/>
      <c r="J20" s="464"/>
    </row>
    <row r="21" spans="1:10" s="71" customFormat="1" ht="38.25">
      <c r="A21" s="49" t="s">
        <v>250</v>
      </c>
      <c r="B21" s="32" t="s">
        <v>212</v>
      </c>
      <c r="C21" s="675">
        <f>C22+C23</f>
        <v>31161</v>
      </c>
      <c r="D21" s="827">
        <f>D22+D23</f>
        <v>32620</v>
      </c>
      <c r="E21" s="788">
        <f>E22+E23</f>
        <v>36867</v>
      </c>
      <c r="F21" s="788">
        <f>F22+F23</f>
        <v>45003</v>
      </c>
      <c r="G21" s="788">
        <f>G22+G23</f>
        <v>59316</v>
      </c>
      <c r="H21" s="110"/>
      <c r="I21" s="110"/>
      <c r="J21" s="110"/>
    </row>
    <row r="22" spans="1:10" s="71" customFormat="1" ht="38.25">
      <c r="A22" s="38" t="s">
        <v>251</v>
      </c>
      <c r="B22" s="32" t="s">
        <v>212</v>
      </c>
      <c r="C22" s="823">
        <v>6532</v>
      </c>
      <c r="D22" s="826">
        <v>7406</v>
      </c>
      <c r="E22" s="241">
        <v>9520</v>
      </c>
      <c r="F22" s="241">
        <v>9864</v>
      </c>
      <c r="G22" s="241">
        <v>12550</v>
      </c>
      <c r="H22" s="110"/>
      <c r="I22" s="110"/>
      <c r="J22" s="462" t="s">
        <v>252</v>
      </c>
    </row>
    <row r="23" spans="1:10" s="71" customFormat="1" ht="45" customHeight="1">
      <c r="A23" s="38" t="s">
        <v>253</v>
      </c>
      <c r="B23" s="32" t="s">
        <v>212</v>
      </c>
      <c r="C23" s="823">
        <v>24629</v>
      </c>
      <c r="D23" s="826">
        <v>25214</v>
      </c>
      <c r="E23" s="720">
        <v>27347</v>
      </c>
      <c r="F23" s="720">
        <v>35139</v>
      </c>
      <c r="G23" s="720">
        <v>46766</v>
      </c>
      <c r="H23" s="110"/>
      <c r="I23" s="110"/>
      <c r="J23" s="110"/>
    </row>
    <row r="24" spans="1:10" s="71" customFormat="1" ht="25.5">
      <c r="A24" s="31" t="s">
        <v>254</v>
      </c>
      <c r="B24" s="32" t="s">
        <v>212</v>
      </c>
      <c r="C24" s="828">
        <f>C25+C26</f>
        <v>29</v>
      </c>
      <c r="D24" s="828">
        <f>D25+D26</f>
        <v>37</v>
      </c>
      <c r="E24" s="829">
        <f>E25+E26</f>
        <v>51</v>
      </c>
      <c r="F24" s="829">
        <v>81</v>
      </c>
      <c r="G24" s="746">
        <v>166.73</v>
      </c>
      <c r="H24" s="110"/>
      <c r="I24" s="110"/>
      <c r="J24" s="110"/>
    </row>
    <row r="25" spans="1:10" s="71" customFormat="1" ht="12.75">
      <c r="A25" s="38" t="s">
        <v>255</v>
      </c>
      <c r="B25" s="32" t="s">
        <v>212</v>
      </c>
      <c r="C25" s="37">
        <v>19</v>
      </c>
      <c r="D25" s="59">
        <v>34</v>
      </c>
      <c r="E25" s="43">
        <v>50</v>
      </c>
      <c r="F25" s="43">
        <v>79</v>
      </c>
      <c r="G25" s="267">
        <v>150.12</v>
      </c>
      <c r="H25" s="110"/>
      <c r="I25" s="110"/>
      <c r="J25" s="110"/>
    </row>
    <row r="26" spans="1:10" s="71" customFormat="1" ht="12.75">
      <c r="A26" s="38" t="s">
        <v>256</v>
      </c>
      <c r="B26" s="32" t="s">
        <v>212</v>
      </c>
      <c r="C26" s="37">
        <v>10</v>
      </c>
      <c r="D26" s="59">
        <v>3</v>
      </c>
      <c r="E26" s="43">
        <v>1</v>
      </c>
      <c r="F26" s="43">
        <v>2</v>
      </c>
      <c r="G26" s="267">
        <v>16.61</v>
      </c>
      <c r="H26" s="110"/>
      <c r="I26" s="110"/>
      <c r="J26" s="110"/>
    </row>
    <row r="28" spans="1:10" ht="35.1" customHeight="1">
      <c r="A28" s="95" t="s">
        <v>257</v>
      </c>
      <c r="B28" s="95"/>
      <c r="C28" s="95"/>
      <c r="D28" s="15"/>
      <c r="E28" s="15"/>
      <c r="F28" s="15"/>
      <c r="G28" s="15"/>
    </row>
    <row r="29" spans="1:10" s="71" customFormat="1" ht="15">
      <c r="A29" s="381" t="s">
        <v>143</v>
      </c>
      <c r="B29" s="198" t="s">
        <v>66</v>
      </c>
      <c r="C29" s="424">
        <v>2020</v>
      </c>
      <c r="D29" s="424">
        <v>2021</v>
      </c>
      <c r="E29" s="263">
        <v>2022</v>
      </c>
      <c r="F29" s="263">
        <v>2023</v>
      </c>
      <c r="G29" s="273">
        <v>2024</v>
      </c>
    </row>
    <row r="30" spans="1:10" s="71" customFormat="1" ht="25.5">
      <c r="A30" s="659" t="s">
        <v>258</v>
      </c>
      <c r="B30" s="33" t="s">
        <v>259</v>
      </c>
      <c r="C30" s="518">
        <f t="shared" ref="C30:G30" si="0">C31+C32</f>
        <v>65220</v>
      </c>
      <c r="D30" s="518">
        <f t="shared" si="0"/>
        <v>71066</v>
      </c>
      <c r="E30" s="518">
        <f t="shared" si="0"/>
        <v>86836</v>
      </c>
      <c r="F30" s="518">
        <f t="shared" si="0"/>
        <v>71946</v>
      </c>
      <c r="G30" s="518">
        <f t="shared" si="0"/>
        <v>80078</v>
      </c>
      <c r="H30" s="591" t="s">
        <v>260</v>
      </c>
      <c r="I30" s="483" t="s">
        <v>261</v>
      </c>
      <c r="J30" s="447" t="s">
        <v>27</v>
      </c>
    </row>
    <row r="31" spans="1:10" s="71" customFormat="1" ht="25.5">
      <c r="A31" s="647" t="s">
        <v>262</v>
      </c>
      <c r="B31" s="33" t="s">
        <v>259</v>
      </c>
      <c r="C31" s="519">
        <v>52685</v>
      </c>
      <c r="D31" s="519">
        <v>62130</v>
      </c>
      <c r="E31" s="241">
        <v>77541</v>
      </c>
      <c r="F31" s="241">
        <v>67067</v>
      </c>
      <c r="G31" s="241">
        <v>74318</v>
      </c>
      <c r="H31" s="591" t="s">
        <v>260</v>
      </c>
      <c r="I31" s="483" t="s">
        <v>261</v>
      </c>
      <c r="J31" s="447" t="s">
        <v>27</v>
      </c>
    </row>
    <row r="32" spans="1:10" s="71" customFormat="1" ht="25.5">
      <c r="A32" s="648" t="s">
        <v>263</v>
      </c>
      <c r="B32" s="33" t="s">
        <v>259</v>
      </c>
      <c r="C32" s="519">
        <v>12535</v>
      </c>
      <c r="D32" s="519">
        <v>8936</v>
      </c>
      <c r="E32" s="241">
        <v>9295</v>
      </c>
      <c r="F32" s="241">
        <v>4879</v>
      </c>
      <c r="G32" s="241">
        <v>5760</v>
      </c>
      <c r="H32" s="591" t="s">
        <v>260</v>
      </c>
      <c r="I32" s="483" t="s">
        <v>261</v>
      </c>
      <c r="J32" s="105"/>
    </row>
    <row r="33" spans="1:13" s="71" customFormat="1" ht="19.350000000000001" customHeight="1">
      <c r="A33" s="649" t="s">
        <v>264</v>
      </c>
      <c r="B33" s="650"/>
      <c r="C33" s="283"/>
      <c r="D33" s="100"/>
      <c r="E33" s="43"/>
      <c r="F33" s="43"/>
      <c r="G33" s="43"/>
      <c r="H33" s="591"/>
      <c r="I33" s="465"/>
      <c r="J33" s="110"/>
    </row>
    <row r="34" spans="1:13" s="71" customFormat="1" ht="12.75">
      <c r="A34" s="651" t="s">
        <v>265</v>
      </c>
      <c r="B34" s="439" t="s">
        <v>266</v>
      </c>
      <c r="C34" s="519">
        <v>16334</v>
      </c>
      <c r="D34" s="519">
        <v>19746</v>
      </c>
      <c r="E34" s="241">
        <v>25244</v>
      </c>
      <c r="F34" s="241">
        <v>20918</v>
      </c>
      <c r="G34" s="241">
        <v>21143</v>
      </c>
      <c r="H34" s="591" t="s">
        <v>260</v>
      </c>
      <c r="I34" s="465" t="s">
        <v>243</v>
      </c>
      <c r="J34" s="110"/>
    </row>
    <row r="35" spans="1:13" s="71" customFormat="1" ht="12.75">
      <c r="A35" s="633" t="s">
        <v>267</v>
      </c>
      <c r="B35" s="439" t="s">
        <v>266</v>
      </c>
      <c r="C35" s="519">
        <v>12257</v>
      </c>
      <c r="D35" s="519">
        <v>13158</v>
      </c>
      <c r="E35" s="241">
        <v>19386</v>
      </c>
      <c r="F35" s="241">
        <v>15405</v>
      </c>
      <c r="G35" s="241">
        <v>15451</v>
      </c>
      <c r="H35" s="591" t="s">
        <v>260</v>
      </c>
      <c r="I35" s="465" t="s">
        <v>243</v>
      </c>
      <c r="J35" s="110"/>
    </row>
    <row r="36" spans="1:13" s="71" customFormat="1" ht="12.75">
      <c r="A36" s="633" t="s">
        <v>268</v>
      </c>
      <c r="B36" s="439" t="s">
        <v>266</v>
      </c>
      <c r="C36" s="519">
        <v>36629</v>
      </c>
      <c r="D36" s="519">
        <v>38162</v>
      </c>
      <c r="E36" s="241">
        <v>42206</v>
      </c>
      <c r="F36" s="241">
        <v>35623</v>
      </c>
      <c r="G36" s="241">
        <v>43484</v>
      </c>
      <c r="H36" s="591" t="s">
        <v>260</v>
      </c>
      <c r="I36" s="465" t="s">
        <v>243</v>
      </c>
      <c r="J36" s="110"/>
    </row>
    <row r="37" spans="1:13" s="71" customFormat="1" ht="25.5">
      <c r="A37" s="250" t="s">
        <v>269</v>
      </c>
      <c r="B37" s="33" t="s">
        <v>270</v>
      </c>
      <c r="C37" s="284">
        <v>339.8</v>
      </c>
      <c r="D37" s="284">
        <v>255.8</v>
      </c>
      <c r="E37" s="43">
        <v>247</v>
      </c>
      <c r="F37" s="43">
        <v>307</v>
      </c>
      <c r="G37" s="43">
        <v>345</v>
      </c>
      <c r="H37" s="590"/>
      <c r="I37" s="465" t="s">
        <v>243</v>
      </c>
      <c r="J37" s="447" t="s">
        <v>27</v>
      </c>
      <c r="K37" s="487"/>
      <c r="L37" s="487"/>
      <c r="M37" s="487"/>
    </row>
    <row r="38" spans="1:13" s="71" customFormat="1" ht="42" customHeight="1">
      <c r="A38" s="250" t="s">
        <v>271</v>
      </c>
      <c r="B38" s="439" t="s">
        <v>259</v>
      </c>
      <c r="C38" s="283"/>
      <c r="D38" s="519">
        <f>D39+D40</f>
        <v>1511</v>
      </c>
      <c r="E38" s="274">
        <v>1954</v>
      </c>
      <c r="F38" s="720">
        <v>2228</v>
      </c>
      <c r="G38" s="305">
        <f>G39+G40+G41</f>
        <v>2125</v>
      </c>
      <c r="H38" s="591" t="s">
        <v>260</v>
      </c>
      <c r="I38" s="465"/>
      <c r="J38" s="470"/>
      <c r="K38" s="487"/>
      <c r="L38" s="487"/>
      <c r="M38" s="487"/>
    </row>
    <row r="39" spans="1:13" s="71" customFormat="1" ht="25.5">
      <c r="A39" s="651" t="s">
        <v>265</v>
      </c>
      <c r="B39" s="439" t="s">
        <v>259</v>
      </c>
      <c r="C39" s="283"/>
      <c r="D39" s="519">
        <v>207</v>
      </c>
      <c r="E39" s="241">
        <v>818</v>
      </c>
      <c r="F39" s="241">
        <v>1161</v>
      </c>
      <c r="G39" s="329">
        <v>1255</v>
      </c>
      <c r="H39" s="591" t="s">
        <v>260</v>
      </c>
      <c r="I39" s="465"/>
      <c r="J39" s="470"/>
      <c r="K39" s="487"/>
      <c r="L39" s="487"/>
      <c r="M39" s="487"/>
    </row>
    <row r="40" spans="1:13" s="71" customFormat="1" ht="25.5">
      <c r="A40" s="633" t="s">
        <v>272</v>
      </c>
      <c r="B40" s="439" t="s">
        <v>259</v>
      </c>
      <c r="C40" s="283"/>
      <c r="D40" s="519">
        <v>1304</v>
      </c>
      <c r="E40" s="241">
        <v>1136</v>
      </c>
      <c r="F40" s="241">
        <v>1067</v>
      </c>
      <c r="G40" s="329">
        <v>583</v>
      </c>
      <c r="H40" s="591" t="s">
        <v>260</v>
      </c>
      <c r="I40" s="465"/>
      <c r="J40" s="470"/>
      <c r="K40" s="487"/>
      <c r="L40" s="487"/>
      <c r="M40" s="487"/>
    </row>
    <row r="41" spans="1:13" s="71" customFormat="1" ht="25.5">
      <c r="A41" s="633" t="s">
        <v>273</v>
      </c>
      <c r="B41" s="33" t="s">
        <v>259</v>
      </c>
      <c r="C41" s="283"/>
      <c r="D41" s="519"/>
      <c r="E41" s="241"/>
      <c r="F41" s="241"/>
      <c r="G41" s="329">
        <v>287</v>
      </c>
      <c r="H41" s="591" t="s">
        <v>260</v>
      </c>
      <c r="I41" s="465"/>
      <c r="J41" s="470"/>
      <c r="K41" s="487"/>
      <c r="L41" s="487"/>
      <c r="M41" s="487"/>
    </row>
    <row r="42" spans="1:13" s="71" customFormat="1" ht="16.350000000000001" customHeight="1">
      <c r="A42" s="1028" t="s">
        <v>79</v>
      </c>
      <c r="B42" s="1029"/>
      <c r="C42" s="1029"/>
      <c r="D42" s="1029"/>
    </row>
    <row r="43" spans="1:13" ht="32.1" customHeight="1">
      <c r="A43" s="1024" t="s">
        <v>274</v>
      </c>
      <c r="B43" s="1024"/>
      <c r="C43" s="1024"/>
      <c r="D43" s="1024"/>
      <c r="E43" s="1024"/>
      <c r="F43" s="1024"/>
      <c r="G43" s="1024"/>
    </row>
  </sheetData>
  <mergeCells count="6">
    <mergeCell ref="A43:G43"/>
    <mergeCell ref="A6:D6"/>
    <mergeCell ref="A13:D13"/>
    <mergeCell ref="A42:D42"/>
    <mergeCell ref="A7:G7"/>
    <mergeCell ref="A14:G14"/>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66"/>
  <sheetViews>
    <sheetView topLeftCell="A160" zoomScale="120" zoomScaleNormal="120" workbookViewId="0">
      <selection activeCell="A96" sqref="A96:G96"/>
    </sheetView>
  </sheetViews>
  <sheetFormatPr defaultColWidth="11" defaultRowHeight="15.75"/>
  <cols>
    <col min="1" max="1" width="41.125" customWidth="1"/>
    <col min="2" max="2" width="14.625" style="10" customWidth="1"/>
    <col min="3" max="7" width="10.625" customWidth="1"/>
    <col min="8" max="8" width="10.625" style="71" customWidth="1"/>
    <col min="9" max="9" width="8.625" customWidth="1"/>
    <col min="10" max="10" width="10.625" customWidth="1"/>
    <col min="11" max="11" width="23" customWidth="1"/>
    <col min="12" max="12" width="12.625" customWidth="1"/>
    <col min="13" max="13" width="12.5" customWidth="1"/>
    <col min="14" max="14" width="25.125" customWidth="1"/>
  </cols>
  <sheetData>
    <row r="1" spans="1:14" ht="24" customHeight="1">
      <c r="A1" s="11" t="s">
        <v>275</v>
      </c>
      <c r="B1" s="528"/>
      <c r="H1" s="540" t="s">
        <v>61</v>
      </c>
    </row>
    <row r="2" spans="1:14" ht="35.1" customHeight="1">
      <c r="A2" s="387" t="s">
        <v>276</v>
      </c>
      <c r="B2" s="90"/>
      <c r="C2" s="78"/>
      <c r="D2" s="15"/>
      <c r="E2" s="15"/>
      <c r="F2" s="15"/>
      <c r="G2" s="15"/>
      <c r="H2" s="132" t="s">
        <v>63</v>
      </c>
      <c r="I2" s="132" t="s">
        <v>25</v>
      </c>
      <c r="J2" s="132" t="s">
        <v>64</v>
      </c>
    </row>
    <row r="3" spans="1:14" ht="16.350000000000001" customHeight="1">
      <c r="A3" s="381" t="s">
        <v>143</v>
      </c>
      <c r="B3" s="198" t="s">
        <v>66</v>
      </c>
      <c r="C3" s="20">
        <v>2020</v>
      </c>
      <c r="D3" s="20">
        <v>2021</v>
      </c>
      <c r="E3" s="374">
        <v>2022</v>
      </c>
      <c r="F3" s="374">
        <v>2023</v>
      </c>
      <c r="G3" s="20">
        <v>2024</v>
      </c>
      <c r="H3" s="120"/>
      <c r="K3" s="2"/>
    </row>
    <row r="4" spans="1:14" s="71" customFormat="1" ht="33" customHeight="1">
      <c r="A4" s="328" t="s">
        <v>277</v>
      </c>
      <c r="B4" s="214" t="s">
        <v>116</v>
      </c>
      <c r="C4" s="341">
        <f>C23+C30+C37</f>
        <v>611</v>
      </c>
      <c r="D4" s="341">
        <f>D23+D30+D37</f>
        <v>680.9</v>
      </c>
      <c r="E4" s="396">
        <f>E23+E30+E37</f>
        <v>725.59999999999991</v>
      </c>
      <c r="F4" s="396">
        <f>F23+F30+F37</f>
        <v>489.89924999999994</v>
      </c>
      <c r="G4" s="396">
        <f>G23+G30+G37</f>
        <v>483.44502</v>
      </c>
      <c r="H4" s="473" t="s">
        <v>278</v>
      </c>
      <c r="I4" s="110"/>
      <c r="J4" s="445" t="s">
        <v>279</v>
      </c>
    </row>
    <row r="5" spans="1:14" s="71" customFormat="1" ht="16.350000000000001" customHeight="1">
      <c r="A5" s="328" t="s">
        <v>280</v>
      </c>
      <c r="B5" s="323"/>
      <c r="C5" s="341"/>
      <c r="D5" s="341"/>
      <c r="E5" s="396"/>
      <c r="F5" s="396"/>
      <c r="G5" s="396"/>
      <c r="H5" s="473"/>
      <c r="I5" s="110"/>
      <c r="J5" s="474"/>
    </row>
    <row r="6" spans="1:14" s="71" customFormat="1" ht="16.350000000000001" customHeight="1">
      <c r="A6" s="45" t="s">
        <v>262</v>
      </c>
      <c r="B6" s="323" t="s">
        <v>116</v>
      </c>
      <c r="C6" s="319">
        <v>394.8</v>
      </c>
      <c r="D6" s="319">
        <v>460.2</v>
      </c>
      <c r="E6" s="261">
        <v>477.1</v>
      </c>
      <c r="F6" s="261">
        <f>F24+F31+F38</f>
        <v>470.49399999999997</v>
      </c>
      <c r="G6" s="261">
        <f>G24+G31+G38</f>
        <v>462.57002</v>
      </c>
      <c r="H6" s="473" t="s">
        <v>278</v>
      </c>
      <c r="I6" s="656"/>
      <c r="J6" s="447" t="s">
        <v>27</v>
      </c>
    </row>
    <row r="7" spans="1:14" s="71" customFormat="1" ht="16.350000000000001" customHeight="1">
      <c r="A7" s="561" t="s">
        <v>281</v>
      </c>
      <c r="B7" s="323" t="s">
        <v>116</v>
      </c>
      <c r="C7" s="227">
        <v>252.7</v>
      </c>
      <c r="D7" s="320">
        <v>298.8</v>
      </c>
      <c r="E7" s="227">
        <v>293.2</v>
      </c>
      <c r="F7" s="227">
        <v>280.7</v>
      </c>
      <c r="G7" s="227">
        <v>277.54700000000003</v>
      </c>
      <c r="H7" s="473" t="s">
        <v>278</v>
      </c>
      <c r="I7" s="110"/>
      <c r="J7" s="474"/>
    </row>
    <row r="8" spans="1:14" s="71" customFormat="1" ht="16.350000000000001" customHeight="1">
      <c r="A8" s="361" t="s">
        <v>178</v>
      </c>
      <c r="B8" s="323" t="s">
        <v>116</v>
      </c>
      <c r="C8" s="319">
        <v>216.2</v>
      </c>
      <c r="D8" s="319">
        <v>220.7</v>
      </c>
      <c r="E8" s="261">
        <v>248.5</v>
      </c>
      <c r="F8" s="261">
        <f>F27+F34+F39</f>
        <v>19.405249999999999</v>
      </c>
      <c r="G8" s="261">
        <f>G27+G34+G39</f>
        <v>20.875</v>
      </c>
      <c r="H8" s="473" t="s">
        <v>278</v>
      </c>
      <c r="I8" s="253"/>
      <c r="J8" s="603"/>
    </row>
    <row r="9" spans="1:14" s="71" customFormat="1" ht="16.350000000000001" customHeight="1">
      <c r="A9" s="328" t="s">
        <v>282</v>
      </c>
      <c r="B9" s="323"/>
      <c r="C9" s="341"/>
      <c r="D9" s="341"/>
      <c r="E9" s="396"/>
      <c r="F9" s="396"/>
      <c r="G9" s="396"/>
      <c r="H9" s="473"/>
      <c r="I9" s="110"/>
      <c r="J9" s="474"/>
      <c r="N9" s="773"/>
    </row>
    <row r="10" spans="1:14" s="71" customFormat="1" ht="16.350000000000001" customHeight="1">
      <c r="A10" s="215" t="s">
        <v>283</v>
      </c>
      <c r="B10" s="214" t="s">
        <v>116</v>
      </c>
      <c r="C10" s="289">
        <f t="shared" ref="C10" si="0">C25+C28</f>
        <v>57.8</v>
      </c>
      <c r="D10" s="289">
        <f>D25+D28</f>
        <v>44.900000000000006</v>
      </c>
      <c r="E10" s="261">
        <f>E25+E28</f>
        <v>63</v>
      </c>
      <c r="F10" s="261">
        <f>F25+F28</f>
        <v>14.53</v>
      </c>
      <c r="G10" s="261">
        <f>G25+G28</f>
        <v>18.3995</v>
      </c>
      <c r="H10" s="473" t="s">
        <v>278</v>
      </c>
      <c r="I10" s="110"/>
      <c r="J10" s="110"/>
      <c r="N10" s="773"/>
    </row>
    <row r="11" spans="1:14" s="71" customFormat="1" ht="16.350000000000001" customHeight="1">
      <c r="A11" s="215" t="s">
        <v>284</v>
      </c>
      <c r="B11" s="214" t="s">
        <v>116</v>
      </c>
      <c r="C11" s="289">
        <f t="shared" ref="C11:F11" si="1">C26+C29+C32+C35</f>
        <v>290.5</v>
      </c>
      <c r="D11" s="289">
        <f t="shared" si="1"/>
        <v>331.5</v>
      </c>
      <c r="E11" s="289">
        <f t="shared" si="1"/>
        <v>333.09999999999997</v>
      </c>
      <c r="F11" s="261">
        <f t="shared" si="1"/>
        <v>320.71860999999996</v>
      </c>
      <c r="G11" s="261">
        <f>G26+G29+G32+G35</f>
        <v>302.85879999999997</v>
      </c>
      <c r="H11" s="473" t="s">
        <v>278</v>
      </c>
      <c r="I11" s="464" t="s">
        <v>285</v>
      </c>
      <c r="J11" s="656"/>
    </row>
    <row r="12" spans="1:14" s="71" customFormat="1" ht="27.75" customHeight="1">
      <c r="A12" s="215" t="s">
        <v>286</v>
      </c>
      <c r="B12" s="214" t="s">
        <v>116</v>
      </c>
      <c r="C12" s="289">
        <f t="shared" ref="C12" si="2">C33++C36+C37</f>
        <v>262.7</v>
      </c>
      <c r="D12" s="289">
        <f>D33++D36+D37</f>
        <v>304.5</v>
      </c>
      <c r="E12" s="289">
        <f>E33++E36+E37</f>
        <v>329.5</v>
      </c>
      <c r="F12" s="261">
        <f>F33++F36+F37</f>
        <v>154.65064000000001</v>
      </c>
      <c r="G12" s="261">
        <f>G33++G36+G37</f>
        <v>162.18671999999998</v>
      </c>
      <c r="H12" s="473" t="s">
        <v>278</v>
      </c>
      <c r="I12" s="110"/>
      <c r="J12" s="110"/>
      <c r="L12" s="110"/>
      <c r="M12" s="110"/>
    </row>
    <row r="13" spans="1:14" s="71" customFormat="1" ht="32.1" customHeight="1">
      <c r="A13" s="304" t="s">
        <v>287</v>
      </c>
      <c r="B13" s="214" t="s">
        <v>90</v>
      </c>
      <c r="C13" s="341">
        <f>C11/C4*100</f>
        <v>47.545008183306052</v>
      </c>
      <c r="D13" s="341">
        <f>D11/D4*100</f>
        <v>48.685563225143198</v>
      </c>
      <c r="E13" s="341">
        <f>E11/E4*100</f>
        <v>45.90683572216097</v>
      </c>
      <c r="F13" s="341">
        <f>F11/F4*100</f>
        <v>65.466238211224038</v>
      </c>
      <c r="G13" s="341">
        <f>G11/G4*100</f>
        <v>62.645965408848348</v>
      </c>
      <c r="H13" s="110"/>
      <c r="I13" s="464" t="s">
        <v>288</v>
      </c>
      <c r="J13" s="253"/>
      <c r="K13" s="774"/>
    </row>
    <row r="14" spans="1:14" s="71" customFormat="1" ht="34.35" customHeight="1">
      <c r="A14" s="215" t="s">
        <v>289</v>
      </c>
      <c r="B14" s="214" t="s">
        <v>90</v>
      </c>
      <c r="C14" s="330">
        <f t="shared" ref="C14:F14" si="3">((C26+C32)/C6)*100</f>
        <v>68.61702127659575</v>
      </c>
      <c r="D14" s="330">
        <f t="shared" si="3"/>
        <v>67.644502390265103</v>
      </c>
      <c r="E14" s="330">
        <f t="shared" si="3"/>
        <v>65.541815133095781</v>
      </c>
      <c r="F14" s="330">
        <f t="shared" si="3"/>
        <v>64.556827504707812</v>
      </c>
      <c r="G14" s="330">
        <f>((G26+G32)/G6)*100</f>
        <v>61.509131093277503</v>
      </c>
      <c r="H14" s="253"/>
      <c r="I14" s="464" t="s">
        <v>288</v>
      </c>
      <c r="J14" s="110"/>
      <c r="K14" s="773"/>
      <c r="L14" s="242"/>
      <c r="M14" s="242"/>
    </row>
    <row r="15" spans="1:14" s="71" customFormat="1" ht="50.1" customHeight="1">
      <c r="A15" s="215" t="s">
        <v>290</v>
      </c>
      <c r="B15" s="214" t="s">
        <v>90</v>
      </c>
      <c r="C15" s="330">
        <f t="shared" ref="C15:E15" si="4">((C29+C35)/C8)*100</f>
        <v>9.0656799259944485</v>
      </c>
      <c r="D15" s="330">
        <f t="shared" si="4"/>
        <v>9.1526959673765305</v>
      </c>
      <c r="E15" s="330">
        <f t="shared" si="4"/>
        <v>8.2092555331991939</v>
      </c>
      <c r="F15" s="330">
        <f>((F29+F35)/F8)*100</f>
        <v>87.515543474059868</v>
      </c>
      <c r="G15" s="330">
        <f>((G29+G35)/G8)*100</f>
        <v>87.837125748503013</v>
      </c>
      <c r="H15" s="110"/>
      <c r="I15" s="464" t="s">
        <v>288</v>
      </c>
      <c r="J15" s="110"/>
      <c r="K15" s="773"/>
      <c r="L15" s="775"/>
    </row>
    <row r="16" spans="1:14">
      <c r="A16" s="1018" t="s">
        <v>291</v>
      </c>
      <c r="B16" s="1018"/>
      <c r="C16" s="1018"/>
      <c r="D16" s="1018"/>
      <c r="K16" s="130"/>
      <c r="L16" s="71"/>
      <c r="M16" s="71"/>
      <c r="N16" s="776"/>
    </row>
    <row r="17" spans="1:14" s="71" customFormat="1" ht="108" customHeight="1">
      <c r="A17" s="1037" t="s">
        <v>850</v>
      </c>
      <c r="B17" s="1037"/>
      <c r="C17" s="1037"/>
      <c r="D17" s="1037"/>
      <c r="E17" s="1037"/>
      <c r="F17" s="1037"/>
      <c r="G17" s="1037"/>
      <c r="H17"/>
      <c r="I17"/>
      <c r="J17"/>
      <c r="K17"/>
      <c r="L17"/>
      <c r="M17"/>
      <c r="N17" s="776"/>
    </row>
    <row r="18" spans="1:14" s="71" customFormat="1" ht="18" customHeight="1">
      <c r="A18" s="1030" t="s">
        <v>292</v>
      </c>
      <c r="B18" s="1030"/>
      <c r="C18" s="1030"/>
      <c r="D18" s="1030"/>
      <c r="E18" s="1030"/>
      <c r="F18" s="1030"/>
      <c r="G18" s="1030"/>
      <c r="H18" s="121"/>
      <c r="I18" s="464"/>
      <c r="K18" s="773"/>
      <c r="L18" s="737"/>
    </row>
    <row r="19" spans="1:14" ht="39" customHeight="1">
      <c r="A19" s="1030" t="s">
        <v>802</v>
      </c>
      <c r="B19" s="1030"/>
      <c r="C19" s="1030"/>
      <c r="D19" s="1030"/>
      <c r="E19" s="1030"/>
      <c r="F19" s="1030"/>
      <c r="G19" s="1030"/>
      <c r="H19" s="122"/>
      <c r="I19" s="657"/>
      <c r="J19" s="657"/>
      <c r="K19" s="777"/>
      <c r="L19" s="777"/>
    </row>
    <row r="20" spans="1:14" s="71" customFormat="1" ht="16.350000000000001" customHeight="1">
      <c r="A20" s="466"/>
      <c r="B20" s="489"/>
      <c r="C20" s="472"/>
      <c r="D20" s="472"/>
      <c r="E20" s="472"/>
      <c r="F20" s="472"/>
      <c r="G20" s="472"/>
      <c r="H20" s="121"/>
      <c r="I20" s="464"/>
      <c r="L20" s="737"/>
    </row>
    <row r="21" spans="1:14" s="71" customFormat="1" ht="35.1" customHeight="1">
      <c r="A21" s="387" t="s">
        <v>293</v>
      </c>
      <c r="B21" s="90"/>
      <c r="C21" s="78"/>
      <c r="D21" s="15"/>
      <c r="E21" s="15"/>
      <c r="F21" s="15"/>
      <c r="G21" s="15"/>
      <c r="H21" s="242"/>
      <c r="I21" s="242"/>
    </row>
    <row r="22" spans="1:14" s="71" customFormat="1" ht="17.100000000000001" customHeight="1">
      <c r="A22" s="381" t="s">
        <v>143</v>
      </c>
      <c r="B22" s="198" t="s">
        <v>66</v>
      </c>
      <c r="C22" s="20">
        <v>2020</v>
      </c>
      <c r="D22" s="20">
        <v>2021</v>
      </c>
      <c r="E22" s="374">
        <v>2022</v>
      </c>
      <c r="F22" s="374">
        <v>2023</v>
      </c>
      <c r="G22" s="20">
        <v>2024</v>
      </c>
      <c r="H22" s="242"/>
      <c r="I22" s="242"/>
    </row>
    <row r="23" spans="1:14" s="71" customFormat="1" ht="12.75">
      <c r="A23" s="304" t="s">
        <v>294</v>
      </c>
      <c r="B23" s="214" t="s">
        <v>116</v>
      </c>
      <c r="C23" s="341">
        <f t="shared" ref="C23:E23" si="5">C24+C27</f>
        <v>285.5</v>
      </c>
      <c r="D23" s="341">
        <f t="shared" si="5"/>
        <v>311.5</v>
      </c>
      <c r="E23" s="285">
        <f t="shared" si="5"/>
        <v>326.39999999999998</v>
      </c>
      <c r="F23" s="285">
        <f>F24+F27</f>
        <v>268.99</v>
      </c>
      <c r="G23" s="285">
        <f>G24+G27</f>
        <v>260.16449999999998</v>
      </c>
      <c r="H23" s="473" t="s">
        <v>278</v>
      </c>
      <c r="I23" s="110"/>
      <c r="J23" s="464" t="s">
        <v>295</v>
      </c>
    </row>
    <row r="24" spans="1:14" s="71" customFormat="1" ht="12.75">
      <c r="A24" s="393" t="s">
        <v>177</v>
      </c>
      <c r="B24" s="214" t="s">
        <v>116</v>
      </c>
      <c r="C24" s="371">
        <f>C25+C26</f>
        <v>227.5</v>
      </c>
      <c r="D24" s="371">
        <f>D25+D26</f>
        <v>269</v>
      </c>
      <c r="E24" s="543">
        <f>E25+E26</f>
        <v>262.7</v>
      </c>
      <c r="F24" s="543">
        <f>F25+F26</f>
        <v>255.29</v>
      </c>
      <c r="G24" s="543">
        <f>G25+G26</f>
        <v>245.04049999999998</v>
      </c>
      <c r="H24" s="473" t="s">
        <v>278</v>
      </c>
      <c r="I24" s="110"/>
      <c r="J24" s="464" t="s">
        <v>295</v>
      </c>
      <c r="L24" s="242"/>
    </row>
    <row r="25" spans="1:14" s="71" customFormat="1" ht="12.75">
      <c r="A25" s="216" t="s">
        <v>296</v>
      </c>
      <c r="B25" s="214" t="s">
        <v>116</v>
      </c>
      <c r="C25" s="289">
        <v>16.7</v>
      </c>
      <c r="D25" s="332">
        <v>17.100000000000001</v>
      </c>
      <c r="E25" s="717">
        <v>14.3</v>
      </c>
      <c r="F25" s="717">
        <v>14.53</v>
      </c>
      <c r="G25" s="717">
        <v>18.3995</v>
      </c>
      <c r="H25" s="473" t="s">
        <v>278</v>
      </c>
      <c r="I25" s="110"/>
      <c r="J25" s="110"/>
    </row>
    <row r="26" spans="1:14" s="71" customFormat="1" ht="12.75">
      <c r="A26" s="216" t="s">
        <v>297</v>
      </c>
      <c r="B26" s="214" t="s">
        <v>116</v>
      </c>
      <c r="C26" s="289">
        <v>210.8</v>
      </c>
      <c r="D26" s="332">
        <v>251.9</v>
      </c>
      <c r="E26" s="717">
        <v>248.4</v>
      </c>
      <c r="F26" s="332">
        <v>240.76</v>
      </c>
      <c r="G26" s="717">
        <v>226.64099999999999</v>
      </c>
      <c r="H26" s="473" t="s">
        <v>278</v>
      </c>
      <c r="I26" s="464" t="s">
        <v>285</v>
      </c>
      <c r="J26" s="110"/>
    </row>
    <row r="27" spans="1:14" s="71" customFormat="1" ht="12.75">
      <c r="A27" s="394" t="s">
        <v>178</v>
      </c>
      <c r="B27" s="214" t="s">
        <v>116</v>
      </c>
      <c r="C27" s="341">
        <f>C28+C29</f>
        <v>58</v>
      </c>
      <c r="D27" s="341">
        <f>D28+D29</f>
        <v>42.5</v>
      </c>
      <c r="E27" s="285">
        <f>E28+E29</f>
        <v>63.7</v>
      </c>
      <c r="F27" s="341">
        <f>F28+F29</f>
        <v>13.7</v>
      </c>
      <c r="G27" s="285">
        <f>G28+G29</f>
        <v>15.124000000000001</v>
      </c>
      <c r="H27" s="473" t="s">
        <v>278</v>
      </c>
      <c r="I27" s="110"/>
      <c r="J27" s="464" t="s">
        <v>295</v>
      </c>
    </row>
    <row r="28" spans="1:14" s="71" customFormat="1" ht="12.75">
      <c r="A28" s="395" t="s">
        <v>283</v>
      </c>
      <c r="B28" s="214" t="s">
        <v>116</v>
      </c>
      <c r="C28" s="289">
        <v>41.1</v>
      </c>
      <c r="D28" s="332">
        <v>27.8</v>
      </c>
      <c r="E28" s="717">
        <v>48.7</v>
      </c>
      <c r="F28" s="302">
        <v>0</v>
      </c>
      <c r="G28" s="267">
        <v>0</v>
      </c>
      <c r="H28" s="473" t="s">
        <v>278</v>
      </c>
      <c r="I28" s="110"/>
      <c r="J28" s="110"/>
    </row>
    <row r="29" spans="1:14" s="71" customFormat="1" ht="12.75">
      <c r="A29" s="216" t="s">
        <v>297</v>
      </c>
      <c r="B29" s="214" t="s">
        <v>116</v>
      </c>
      <c r="C29" s="332">
        <v>16.899999999999999</v>
      </c>
      <c r="D29" s="332">
        <v>14.7</v>
      </c>
      <c r="E29" s="267">
        <v>15</v>
      </c>
      <c r="F29" s="332">
        <v>13.7</v>
      </c>
      <c r="G29" s="717">
        <v>15.124000000000001</v>
      </c>
      <c r="H29" s="473" t="s">
        <v>278</v>
      </c>
      <c r="I29" s="464" t="s">
        <v>285</v>
      </c>
      <c r="J29" s="110"/>
    </row>
    <row r="30" spans="1:14" s="71" customFormat="1" ht="12.75">
      <c r="A30" s="393" t="s">
        <v>298</v>
      </c>
      <c r="B30" s="214" t="s">
        <v>116</v>
      </c>
      <c r="C30" s="371">
        <f t="shared" ref="C30" si="6">C31+C34</f>
        <v>114.00000000000001</v>
      </c>
      <c r="D30" s="371">
        <f>D31+D34</f>
        <v>122.89999999999999</v>
      </c>
      <c r="E30" s="543">
        <f>E31+E34</f>
        <v>149.79999999999998</v>
      </c>
      <c r="F30" s="371">
        <f>F31+F34</f>
        <v>148.92044999999999</v>
      </c>
      <c r="G30" s="543">
        <f>G31+G34</f>
        <v>140.21150000000003</v>
      </c>
      <c r="H30" s="473" t="s">
        <v>278</v>
      </c>
      <c r="I30" s="110"/>
      <c r="J30" s="464" t="s">
        <v>295</v>
      </c>
    </row>
    <row r="31" spans="1:14" s="71" customFormat="1" ht="12.75">
      <c r="A31" s="393" t="s">
        <v>177</v>
      </c>
      <c r="B31" s="214" t="s">
        <v>116</v>
      </c>
      <c r="C31" s="371">
        <f>C32+C33</f>
        <v>108.30000000000001</v>
      </c>
      <c r="D31" s="371">
        <f>D32+D33</f>
        <v>117.3</v>
      </c>
      <c r="E31" s="543">
        <f>E32+E33</f>
        <v>144.19999999999999</v>
      </c>
      <c r="F31" s="371">
        <f>F32+F33</f>
        <v>145.43299999999999</v>
      </c>
      <c r="G31" s="543">
        <f>G32+G33</f>
        <v>136.80450000000002</v>
      </c>
      <c r="H31" s="473" t="s">
        <v>278</v>
      </c>
      <c r="I31" s="110"/>
      <c r="J31" s="464" t="s">
        <v>295</v>
      </c>
    </row>
    <row r="32" spans="1:14" s="71" customFormat="1" ht="12.75">
      <c r="A32" s="395" t="s">
        <v>284</v>
      </c>
      <c r="B32" s="214" t="s">
        <v>116</v>
      </c>
      <c r="C32" s="289">
        <v>60.1</v>
      </c>
      <c r="D32" s="332">
        <v>59.4</v>
      </c>
      <c r="E32" s="717">
        <v>64.3</v>
      </c>
      <c r="F32" s="717">
        <v>62.975999999999999</v>
      </c>
      <c r="G32" s="717">
        <v>57.881799999999998</v>
      </c>
      <c r="H32" s="473" t="s">
        <v>278</v>
      </c>
      <c r="I32" s="464" t="s">
        <v>285</v>
      </c>
      <c r="J32" s="110"/>
    </row>
    <row r="33" spans="1:10" s="71" customFormat="1" ht="12.75">
      <c r="A33" s="395" t="s">
        <v>299</v>
      </c>
      <c r="B33" s="214" t="s">
        <v>116</v>
      </c>
      <c r="C33" s="289">
        <v>48.2</v>
      </c>
      <c r="D33" s="332">
        <v>57.9</v>
      </c>
      <c r="E33" s="717">
        <v>79.900000000000006</v>
      </c>
      <c r="F33" s="717">
        <v>82.456999999999994</v>
      </c>
      <c r="G33" s="717">
        <v>78.922700000000006</v>
      </c>
      <c r="H33" s="473" t="s">
        <v>278</v>
      </c>
      <c r="I33" s="110"/>
      <c r="J33" s="110"/>
    </row>
    <row r="34" spans="1:10" s="71" customFormat="1" ht="12.75">
      <c r="A34" s="394" t="s">
        <v>178</v>
      </c>
      <c r="B34" s="214" t="s">
        <v>116</v>
      </c>
      <c r="C34" s="341">
        <f>C35+C36</f>
        <v>5.7</v>
      </c>
      <c r="D34" s="341">
        <f t="shared" ref="D34:G34" si="7">D35+D36</f>
        <v>5.6</v>
      </c>
      <c r="E34" s="285">
        <f t="shared" si="7"/>
        <v>5.6000000000000005</v>
      </c>
      <c r="F34" s="285">
        <f t="shared" si="7"/>
        <v>3.4874499999999999</v>
      </c>
      <c r="G34" s="285">
        <f t="shared" si="7"/>
        <v>3.407</v>
      </c>
      <c r="H34" s="473" t="s">
        <v>278</v>
      </c>
      <c r="I34" s="110"/>
      <c r="J34" s="464" t="s">
        <v>295</v>
      </c>
    </row>
    <row r="35" spans="1:10" s="71" customFormat="1" ht="12.75">
      <c r="A35" s="395" t="s">
        <v>300</v>
      </c>
      <c r="B35" s="214" t="s">
        <v>116</v>
      </c>
      <c r="C35" s="332">
        <v>2.7</v>
      </c>
      <c r="D35" s="332">
        <v>5.5</v>
      </c>
      <c r="E35" s="717">
        <v>5.4</v>
      </c>
      <c r="F35" s="717">
        <v>3.28261</v>
      </c>
      <c r="G35" s="717">
        <v>3.2120000000000002</v>
      </c>
      <c r="H35" s="473" t="s">
        <v>278</v>
      </c>
      <c r="I35" s="464" t="s">
        <v>285</v>
      </c>
      <c r="J35" s="110"/>
    </row>
    <row r="36" spans="1:10" s="71" customFormat="1" ht="12.75">
      <c r="A36" s="395" t="s">
        <v>301</v>
      </c>
      <c r="B36" s="214" t="s">
        <v>116</v>
      </c>
      <c r="C36" s="330">
        <v>3</v>
      </c>
      <c r="D36" s="332">
        <v>0.1</v>
      </c>
      <c r="E36" s="717">
        <v>0.2</v>
      </c>
      <c r="F36" s="717">
        <v>0.20483999999999999</v>
      </c>
      <c r="G36" s="717">
        <v>0.19500000000000001</v>
      </c>
      <c r="H36" s="473" t="s">
        <v>278</v>
      </c>
      <c r="I36" s="110"/>
      <c r="J36" s="110"/>
    </row>
    <row r="37" spans="1:10" s="71" customFormat="1" ht="12.75">
      <c r="A37" s="393" t="s">
        <v>302</v>
      </c>
      <c r="B37" s="214" t="s">
        <v>116</v>
      </c>
      <c r="C37" s="371">
        <f t="shared" ref="C37:G37" si="8">C38+C39</f>
        <v>211.5</v>
      </c>
      <c r="D37" s="371">
        <f t="shared" si="8"/>
        <v>246.5</v>
      </c>
      <c r="E37" s="543">
        <f t="shared" si="8"/>
        <v>249.39999999999998</v>
      </c>
      <c r="F37" s="543">
        <f t="shared" si="8"/>
        <v>71.988799999999998</v>
      </c>
      <c r="G37" s="543">
        <f t="shared" si="8"/>
        <v>83.069019999999995</v>
      </c>
      <c r="H37" s="473" t="s">
        <v>278</v>
      </c>
      <c r="I37" s="110"/>
      <c r="J37" s="464" t="s">
        <v>295</v>
      </c>
    </row>
    <row r="38" spans="1:10" s="71" customFormat="1" ht="12.75">
      <c r="A38" s="215" t="s">
        <v>177</v>
      </c>
      <c r="B38" s="214" t="s">
        <v>116</v>
      </c>
      <c r="C38" s="565">
        <v>59</v>
      </c>
      <c r="D38" s="332">
        <v>73.900000000000006</v>
      </c>
      <c r="E38" s="717">
        <v>70.2</v>
      </c>
      <c r="F38" s="717">
        <v>69.771000000000001</v>
      </c>
      <c r="G38" s="717">
        <v>80.725020000000001</v>
      </c>
      <c r="H38" s="473" t="s">
        <v>278</v>
      </c>
      <c r="J38" s="464" t="s">
        <v>295</v>
      </c>
    </row>
    <row r="39" spans="1:10" s="71" customFormat="1" ht="16.350000000000001" customHeight="1">
      <c r="A39" s="215" t="s">
        <v>178</v>
      </c>
      <c r="B39" s="214" t="s">
        <v>116</v>
      </c>
      <c r="C39" s="289">
        <v>152.5</v>
      </c>
      <c r="D39" s="332">
        <v>172.6</v>
      </c>
      <c r="E39" s="717">
        <v>179.2</v>
      </c>
      <c r="F39" s="717">
        <v>2.2178</v>
      </c>
      <c r="G39" s="717">
        <v>2.3439999999999999</v>
      </c>
      <c r="H39" s="473" t="s">
        <v>278</v>
      </c>
      <c r="J39" s="464" t="s">
        <v>295</v>
      </c>
    </row>
    <row r="40" spans="1:10" ht="16.350000000000001" customHeight="1">
      <c r="A40" s="1018" t="s">
        <v>291</v>
      </c>
      <c r="B40" s="1018"/>
      <c r="C40" s="1018"/>
      <c r="D40" s="1018"/>
      <c r="E40" s="122"/>
      <c r="F40" s="122"/>
      <c r="G40" s="122"/>
      <c r="H40" s="122"/>
    </row>
    <row r="41" spans="1:10" ht="34.35" customHeight="1">
      <c r="A41" s="1030" t="s">
        <v>303</v>
      </c>
      <c r="B41" s="1030"/>
      <c r="C41" s="1030"/>
      <c r="D41" s="1030"/>
      <c r="E41" s="1030"/>
      <c r="F41" s="1030"/>
      <c r="G41" s="1030"/>
      <c r="H41" s="122"/>
    </row>
    <row r="42" spans="1:10" ht="39" customHeight="1">
      <c r="A42" s="1024" t="s">
        <v>304</v>
      </c>
      <c r="B42" s="1024"/>
      <c r="C42" s="1024"/>
      <c r="D42" s="1024"/>
      <c r="E42" s="1024"/>
      <c r="F42" s="1024"/>
      <c r="G42" s="1024"/>
      <c r="H42" s="542"/>
    </row>
    <row r="43" spans="1:10" ht="16.350000000000001" customHeight="1">
      <c r="A43" s="126"/>
      <c r="B43" s="126"/>
      <c r="C43" s="126"/>
      <c r="D43" s="126"/>
      <c r="E43" s="126"/>
      <c r="F43" s="126"/>
      <c r="G43" s="126"/>
      <c r="H43" s="122"/>
    </row>
    <row r="44" spans="1:10" ht="35.1" customHeight="1">
      <c r="A44" s="1038" t="s">
        <v>305</v>
      </c>
      <c r="B44" s="1038"/>
      <c r="C44" s="1038"/>
      <c r="D44" s="1038"/>
      <c r="E44" s="1038"/>
      <c r="F44" s="1038"/>
      <c r="G44" s="721"/>
    </row>
    <row r="45" spans="1:10">
      <c r="A45" s="381" t="s">
        <v>143</v>
      </c>
      <c r="B45" s="198" t="s">
        <v>66</v>
      </c>
      <c r="C45" s="61">
        <v>2020</v>
      </c>
      <c r="D45" s="151">
        <v>2021</v>
      </c>
      <c r="E45" s="151">
        <v>2022</v>
      </c>
      <c r="F45" s="151">
        <v>2023</v>
      </c>
      <c r="G45" s="5">
        <v>2024</v>
      </c>
    </row>
    <row r="46" spans="1:10" ht="67.349999999999994" customHeight="1">
      <c r="A46" s="733" t="s">
        <v>163</v>
      </c>
      <c r="B46" s="33" t="s">
        <v>306</v>
      </c>
      <c r="C46" s="366">
        <f>C47+C48</f>
        <v>350.12</v>
      </c>
      <c r="D46" s="320">
        <f>D47+D48</f>
        <v>374.53</v>
      </c>
      <c r="E46" s="320">
        <f>E47+E48</f>
        <v>426.03</v>
      </c>
      <c r="F46" s="320">
        <f>F47+F48</f>
        <v>390.67447999999996</v>
      </c>
      <c r="G46" s="320">
        <f>G47+G48</f>
        <v>368.55276999999995</v>
      </c>
      <c r="H46" s="473" t="s">
        <v>833</v>
      </c>
      <c r="I46" s="464" t="s">
        <v>307</v>
      </c>
    </row>
    <row r="47" spans="1:10" ht="58.35" customHeight="1">
      <c r="A47" s="733" t="s">
        <v>166</v>
      </c>
      <c r="B47" s="33" t="s">
        <v>306</v>
      </c>
      <c r="C47" s="366">
        <v>350.1</v>
      </c>
      <c r="D47" s="320">
        <v>374.5</v>
      </c>
      <c r="E47" s="320">
        <v>426</v>
      </c>
      <c r="F47" s="227">
        <v>390.64733999999999</v>
      </c>
      <c r="G47" s="227">
        <v>368.53046999999998</v>
      </c>
      <c r="H47" s="473" t="s">
        <v>834</v>
      </c>
      <c r="I47" s="464" t="s">
        <v>307</v>
      </c>
      <c r="J47" s="110"/>
    </row>
    <row r="48" spans="1:10" ht="56.1" customHeight="1">
      <c r="A48" s="733" t="s">
        <v>167</v>
      </c>
      <c r="B48" s="33" t="s">
        <v>306</v>
      </c>
      <c r="C48" s="357">
        <v>0.02</v>
      </c>
      <c r="D48" s="722">
        <v>0.03</v>
      </c>
      <c r="E48" s="722">
        <v>0.03</v>
      </c>
      <c r="F48" s="722">
        <v>2.7140000000000001E-2</v>
      </c>
      <c r="G48" s="722">
        <v>2.23E-2</v>
      </c>
      <c r="H48" s="473" t="s">
        <v>834</v>
      </c>
      <c r="I48" s="464" t="s">
        <v>307</v>
      </c>
      <c r="J48" s="110"/>
    </row>
    <row r="49" spans="1:11">
      <c r="A49" s="89"/>
      <c r="B49" s="89"/>
      <c r="C49" s="191"/>
      <c r="D49" s="191"/>
      <c r="E49" s="191"/>
      <c r="F49" s="191"/>
      <c r="G49" s="191"/>
      <c r="H49" s="473"/>
    </row>
    <row r="50" spans="1:11" ht="35.1" customHeight="1">
      <c r="A50" s="112" t="s">
        <v>308</v>
      </c>
      <c r="B50" s="96"/>
      <c r="C50" s="96"/>
      <c r="D50" s="96"/>
      <c r="E50" s="109"/>
      <c r="F50" s="109"/>
      <c r="G50" s="109"/>
      <c r="H50" s="473"/>
    </row>
    <row r="51" spans="1:11" ht="16.350000000000001" customHeight="1">
      <c r="A51" s="381" t="s">
        <v>143</v>
      </c>
      <c r="B51" s="209" t="s">
        <v>66</v>
      </c>
      <c r="C51" s="61">
        <v>2020</v>
      </c>
      <c r="D51" s="151">
        <v>2021</v>
      </c>
      <c r="E51" s="360">
        <v>2022</v>
      </c>
      <c r="F51" s="360">
        <v>2023</v>
      </c>
      <c r="G51" s="723">
        <v>2024</v>
      </c>
      <c r="H51" s="567"/>
    </row>
    <row r="52" spans="1:11" ht="29.1" customHeight="1">
      <c r="A52" s="45" t="s">
        <v>163</v>
      </c>
      <c r="B52" s="33" t="s">
        <v>306</v>
      </c>
      <c r="C52" s="830">
        <f t="shared" ref="C52:D52" si="9">C53+C56</f>
        <v>3178.2000000000003</v>
      </c>
      <c r="D52" s="830">
        <f t="shared" si="9"/>
        <v>3384.2</v>
      </c>
      <c r="E52" s="830">
        <f>E53+E56</f>
        <v>3230</v>
      </c>
      <c r="F52" s="830">
        <f>F53+F56</f>
        <v>3644.51127</v>
      </c>
      <c r="G52" s="830">
        <f>G53+G56</f>
        <v>3706.68579</v>
      </c>
      <c r="H52" s="567"/>
      <c r="I52" s="110"/>
      <c r="J52" s="462" t="s">
        <v>309</v>
      </c>
    </row>
    <row r="53" spans="1:11" ht="29.1" customHeight="1">
      <c r="A53" s="44" t="s">
        <v>102</v>
      </c>
      <c r="B53" s="33" t="s">
        <v>306</v>
      </c>
      <c r="C53" s="364">
        <f>C54+C55</f>
        <v>2967.6000000000004</v>
      </c>
      <c r="D53" s="831">
        <f>D54+D55</f>
        <v>3186.2</v>
      </c>
      <c r="E53" s="831">
        <f>E54+E55</f>
        <v>2998.4</v>
      </c>
      <c r="F53" s="831">
        <f>F54+F55</f>
        <v>3508.0157599999998</v>
      </c>
      <c r="G53" s="831">
        <f>G54+G55</f>
        <v>3483.1500599999999</v>
      </c>
      <c r="H53" s="778"/>
      <c r="I53" s="110"/>
      <c r="J53" s="462" t="s">
        <v>310</v>
      </c>
    </row>
    <row r="54" spans="1:11" ht="16.350000000000001" customHeight="1">
      <c r="A54" s="35" t="s">
        <v>311</v>
      </c>
      <c r="B54" s="33" t="s">
        <v>306</v>
      </c>
      <c r="C54" s="365">
        <v>2160.9</v>
      </c>
      <c r="D54" s="365">
        <v>2396.9</v>
      </c>
      <c r="E54" s="365">
        <v>2275.8000000000002</v>
      </c>
      <c r="F54" s="365">
        <v>2681.5929999999998</v>
      </c>
      <c r="G54" s="365">
        <v>2763.0232900000001</v>
      </c>
      <c r="H54" s="471"/>
      <c r="I54" s="110"/>
      <c r="J54" s="110"/>
      <c r="K54" s="490"/>
    </row>
    <row r="55" spans="1:11" ht="31.35" customHeight="1">
      <c r="A55" s="35" t="s">
        <v>312</v>
      </c>
      <c r="B55" s="33" t="s">
        <v>306</v>
      </c>
      <c r="C55" s="366">
        <v>806.7</v>
      </c>
      <c r="D55" s="366">
        <v>789.3</v>
      </c>
      <c r="E55" s="320">
        <v>722.6</v>
      </c>
      <c r="F55" s="227">
        <v>826.42276000000004</v>
      </c>
      <c r="G55" s="227">
        <v>720.12676999999996</v>
      </c>
      <c r="H55" s="116"/>
      <c r="I55" s="110"/>
      <c r="J55" s="110"/>
    </row>
    <row r="56" spans="1:11" ht="16.350000000000001" customHeight="1">
      <c r="A56" s="44" t="s">
        <v>313</v>
      </c>
      <c r="B56" s="33" t="s">
        <v>306</v>
      </c>
      <c r="C56" s="367">
        <f>C57+C58</f>
        <v>210.60000000000002</v>
      </c>
      <c r="D56" s="354">
        <f>D57+D58</f>
        <v>198</v>
      </c>
      <c r="E56" s="354">
        <f>E57+E58</f>
        <v>231.6</v>
      </c>
      <c r="F56" s="354">
        <f>F57+F58</f>
        <v>136.49551</v>
      </c>
      <c r="G56" s="354">
        <f>G57+G58</f>
        <v>223.53573</v>
      </c>
      <c r="H56" s="601"/>
      <c r="I56" s="110"/>
      <c r="J56" s="464" t="s">
        <v>314</v>
      </c>
    </row>
    <row r="57" spans="1:11" ht="16.350000000000001" customHeight="1">
      <c r="A57" s="35" t="s">
        <v>315</v>
      </c>
      <c r="B57" s="33" t="s">
        <v>306</v>
      </c>
      <c r="C57" s="366">
        <v>207.8</v>
      </c>
      <c r="D57" s="368">
        <v>194.1</v>
      </c>
      <c r="E57" s="368">
        <v>228.4</v>
      </c>
      <c r="F57" s="368">
        <v>134.62935999999999</v>
      </c>
      <c r="G57" s="368">
        <v>222.13073</v>
      </c>
      <c r="H57" s="471"/>
      <c r="I57" s="110"/>
      <c r="J57" s="110"/>
      <c r="K57" s="490"/>
    </row>
    <row r="58" spans="1:11" ht="35.1" customHeight="1">
      <c r="A58" s="93" t="s">
        <v>312</v>
      </c>
      <c r="B58" s="33" t="s">
        <v>306</v>
      </c>
      <c r="C58" s="369">
        <v>2.8</v>
      </c>
      <c r="D58" s="369">
        <v>3.9</v>
      </c>
      <c r="E58" s="320">
        <v>3.2</v>
      </c>
      <c r="F58" s="320">
        <v>1.86615</v>
      </c>
      <c r="G58" s="320">
        <v>1.405</v>
      </c>
      <c r="H58" s="116"/>
      <c r="I58" s="110"/>
      <c r="J58" s="110"/>
    </row>
    <row r="59" spans="1:11" ht="16.350000000000001" customHeight="1">
      <c r="A59" s="224" t="s">
        <v>316</v>
      </c>
      <c r="B59" s="286"/>
      <c r="C59" s="47"/>
      <c r="D59" s="287"/>
      <c r="E59" s="287"/>
      <c r="F59" s="287"/>
      <c r="G59" s="287"/>
      <c r="H59" s="124"/>
    </row>
    <row r="60" spans="1:11" ht="68.099999999999994" customHeight="1">
      <c r="A60" s="1024" t="s">
        <v>317</v>
      </c>
      <c r="B60" s="1024"/>
      <c r="C60" s="1024"/>
      <c r="D60" s="1024"/>
      <c r="E60" s="1024"/>
      <c r="F60" s="1024"/>
      <c r="G60" s="1024"/>
      <c r="K60" s="6"/>
    </row>
    <row r="61" spans="1:11" ht="16.350000000000001" customHeight="1">
      <c r="A61" s="56"/>
      <c r="B61" s="91"/>
      <c r="C61" s="56"/>
      <c r="D61" s="56"/>
      <c r="E61" s="56"/>
      <c r="F61" s="56"/>
      <c r="G61" s="56"/>
      <c r="H61" s="122"/>
    </row>
    <row r="62" spans="1:11" ht="35.1" customHeight="1">
      <c r="A62" s="1034" t="s">
        <v>318</v>
      </c>
      <c r="B62" s="1034"/>
      <c r="C62" s="1034"/>
      <c r="D62" s="15"/>
      <c r="E62" s="15"/>
      <c r="F62" s="15"/>
      <c r="G62" s="15"/>
      <c r="H62" s="562"/>
    </row>
    <row r="63" spans="1:11">
      <c r="A63" s="381" t="s">
        <v>143</v>
      </c>
      <c r="B63" s="198" t="s">
        <v>66</v>
      </c>
      <c r="C63" s="199">
        <v>2020</v>
      </c>
      <c r="D63" s="199">
        <v>2021</v>
      </c>
      <c r="E63" s="201">
        <v>2022</v>
      </c>
      <c r="F63" s="201">
        <v>2023</v>
      </c>
      <c r="G63" s="199">
        <v>2024</v>
      </c>
      <c r="H63" s="123"/>
    </row>
    <row r="64" spans="1:11" ht="25.5">
      <c r="A64" s="44" t="s">
        <v>319</v>
      </c>
      <c r="B64" s="146" t="s">
        <v>320</v>
      </c>
      <c r="C64" s="354">
        <f t="shared" ref="C64:E64" si="10">C65+C66</f>
        <v>543.20000000000005</v>
      </c>
      <c r="D64" s="396">
        <f t="shared" si="10"/>
        <v>588</v>
      </c>
      <c r="E64" s="396">
        <f t="shared" si="10"/>
        <v>628.4</v>
      </c>
      <c r="F64" s="396">
        <f>F65+F66</f>
        <v>396.290753</v>
      </c>
      <c r="G64" s="396">
        <f>G65+G66</f>
        <v>394.08184999999997</v>
      </c>
      <c r="H64" s="475"/>
      <c r="I64" s="110"/>
      <c r="J64" s="464" t="s">
        <v>321</v>
      </c>
    </row>
    <row r="65" spans="1:13">
      <c r="A65" s="345" t="s">
        <v>177</v>
      </c>
      <c r="B65" s="146" t="s">
        <v>320</v>
      </c>
      <c r="C65" s="319">
        <v>328.7</v>
      </c>
      <c r="D65" s="260">
        <v>369</v>
      </c>
      <c r="E65" s="227">
        <v>381.7</v>
      </c>
      <c r="F65" s="227">
        <v>378.09874300000001</v>
      </c>
      <c r="G65" s="227">
        <v>374.30829999999997</v>
      </c>
      <c r="H65" s="475"/>
      <c r="I65" s="110"/>
      <c r="J65" s="110"/>
    </row>
    <row r="66" spans="1:13">
      <c r="A66" s="345" t="s">
        <v>178</v>
      </c>
      <c r="B66" s="146" t="s">
        <v>320</v>
      </c>
      <c r="C66" s="320">
        <v>214.5</v>
      </c>
      <c r="D66" s="260">
        <v>219</v>
      </c>
      <c r="E66" s="227">
        <v>246.7</v>
      </c>
      <c r="F66" s="227">
        <v>18.19201</v>
      </c>
      <c r="G66" s="227">
        <v>19.77355</v>
      </c>
      <c r="H66" s="475"/>
      <c r="I66" s="110"/>
      <c r="J66" s="110"/>
    </row>
    <row r="67" spans="1:13">
      <c r="A67" s="370" t="s">
        <v>322</v>
      </c>
      <c r="B67" s="146" t="s">
        <v>320</v>
      </c>
      <c r="C67" s="354">
        <f>C68+C69</f>
        <v>0</v>
      </c>
      <c r="D67" s="396">
        <f>D68+D69</f>
        <v>4.3</v>
      </c>
      <c r="E67" s="396">
        <f>E68+E69</f>
        <v>11.6</v>
      </c>
      <c r="F67" s="396">
        <f>F68+F69</f>
        <v>9.351329999999999</v>
      </c>
      <c r="G67" s="396">
        <f>G68+G69</f>
        <v>8.6981219999999997</v>
      </c>
      <c r="H67" s="475"/>
      <c r="I67" s="110"/>
      <c r="J67" s="110"/>
    </row>
    <row r="68" spans="1:13">
      <c r="A68" s="35" t="s">
        <v>262</v>
      </c>
      <c r="B68" s="57" t="s">
        <v>320</v>
      </c>
      <c r="C68" s="564">
        <v>0</v>
      </c>
      <c r="D68" s="227">
        <v>3.8</v>
      </c>
      <c r="E68" s="227">
        <v>11.1</v>
      </c>
      <c r="F68" s="227">
        <v>8.8902699999999992</v>
      </c>
      <c r="G68" s="227">
        <v>8.1698599999999999</v>
      </c>
      <c r="H68" s="473"/>
      <c r="I68" s="110"/>
      <c r="J68" s="110"/>
    </row>
    <row r="69" spans="1:13">
      <c r="A69" s="35" t="s">
        <v>178</v>
      </c>
      <c r="B69" s="57" t="s">
        <v>320</v>
      </c>
      <c r="C69" s="564">
        <v>0</v>
      </c>
      <c r="D69" s="227">
        <v>0.5</v>
      </c>
      <c r="E69" s="227">
        <v>0.5</v>
      </c>
      <c r="F69" s="227">
        <v>0.46106000000000003</v>
      </c>
      <c r="G69" s="227">
        <v>0.52826200000000001</v>
      </c>
      <c r="H69" s="473"/>
      <c r="I69" s="110"/>
      <c r="J69" s="110"/>
    </row>
    <row r="70" spans="1:13" ht="25.5">
      <c r="A70" s="31" t="s">
        <v>323</v>
      </c>
      <c r="B70" s="57" t="s">
        <v>320</v>
      </c>
      <c r="C70" s="396">
        <f t="shared" ref="C70:G70" si="11">C71+C72</f>
        <v>63.1</v>
      </c>
      <c r="D70" s="396">
        <f t="shared" si="11"/>
        <v>88.3</v>
      </c>
      <c r="E70" s="396">
        <f t="shared" si="11"/>
        <v>98.2</v>
      </c>
      <c r="F70" s="396">
        <f t="shared" si="11"/>
        <v>92.039969999999997</v>
      </c>
      <c r="G70" s="396">
        <f t="shared" si="11"/>
        <v>85.574962999999997</v>
      </c>
      <c r="H70" s="607" t="s">
        <v>324</v>
      </c>
      <c r="I70" s="464" t="s">
        <v>307</v>
      </c>
      <c r="J70" s="110"/>
    </row>
    <row r="71" spans="1:13">
      <c r="A71" s="35" t="s">
        <v>177</v>
      </c>
      <c r="B71" s="57" t="s">
        <v>320</v>
      </c>
      <c r="C71" s="260">
        <v>62</v>
      </c>
      <c r="D71" s="227">
        <v>87.2</v>
      </c>
      <c r="E71" s="227">
        <v>96.9</v>
      </c>
      <c r="F71" s="227">
        <v>91.298940000000002</v>
      </c>
      <c r="G71" s="227">
        <v>85.001412999999999</v>
      </c>
      <c r="H71" s="607" t="s">
        <v>324</v>
      </c>
      <c r="I71" s="464" t="s">
        <v>307</v>
      </c>
      <c r="J71" s="110"/>
    </row>
    <row r="72" spans="1:13" ht="16.350000000000001" customHeight="1">
      <c r="A72" s="35" t="s">
        <v>178</v>
      </c>
      <c r="B72" s="57" t="s">
        <v>320</v>
      </c>
      <c r="C72" s="261">
        <v>1.1000000000000001</v>
      </c>
      <c r="D72" s="261">
        <v>1.1000000000000001</v>
      </c>
      <c r="E72" s="261">
        <v>1.3</v>
      </c>
      <c r="F72" s="261">
        <v>0.74102999999999997</v>
      </c>
      <c r="G72" s="261">
        <v>0.57355</v>
      </c>
      <c r="H72" s="607" t="s">
        <v>324</v>
      </c>
      <c r="I72" s="464" t="s">
        <v>307</v>
      </c>
      <c r="J72" s="110"/>
    </row>
    <row r="73" spans="1:13" ht="21" customHeight="1">
      <c r="A73" s="1035" t="s">
        <v>325</v>
      </c>
      <c r="B73" s="1035"/>
      <c r="C73" s="1035"/>
      <c r="D73" s="105"/>
      <c r="E73" s="105"/>
      <c r="F73" s="105"/>
      <c r="G73" s="105"/>
    </row>
    <row r="74" spans="1:13" s="108" customFormat="1" ht="46.35" customHeight="1">
      <c r="A74" s="1030" t="s">
        <v>326</v>
      </c>
      <c r="B74" s="1030"/>
      <c r="C74" s="1030"/>
      <c r="D74" s="1030"/>
      <c r="E74" s="1030"/>
      <c r="F74" s="1030"/>
      <c r="G74" s="1030"/>
      <c r="H74" s="644"/>
    </row>
    <row r="75" spans="1:13" ht="16.350000000000001" customHeight="1">
      <c r="A75" s="152"/>
      <c r="B75" s="153"/>
      <c r="C75" s="29"/>
      <c r="D75" s="29"/>
      <c r="E75" s="29"/>
      <c r="F75" s="29"/>
      <c r="G75" s="29"/>
      <c r="H75" s="124"/>
    </row>
    <row r="76" spans="1:13" ht="35.1" customHeight="1">
      <c r="A76" s="112" t="s">
        <v>327</v>
      </c>
      <c r="B76" s="96"/>
      <c r="C76" s="96"/>
      <c r="D76" s="15"/>
      <c r="E76" s="15"/>
      <c r="F76" s="15"/>
      <c r="G76" s="15"/>
      <c r="H76" s="574"/>
    </row>
    <row r="77" spans="1:13">
      <c r="A77" s="381" t="s">
        <v>143</v>
      </c>
      <c r="B77" s="314" t="s">
        <v>66</v>
      </c>
      <c r="C77" s="359">
        <v>2020</v>
      </c>
      <c r="D77" s="360">
        <v>2021</v>
      </c>
      <c r="E77" s="360">
        <v>2022</v>
      </c>
      <c r="F77" s="360">
        <v>2023</v>
      </c>
      <c r="G77" s="723">
        <v>2024</v>
      </c>
      <c r="H77" s="288"/>
    </row>
    <row r="78" spans="1:13" ht="28.5" customHeight="1">
      <c r="A78" s="358" t="s">
        <v>94</v>
      </c>
      <c r="B78" s="346" t="s">
        <v>306</v>
      </c>
      <c r="C78" s="366">
        <v>104.9</v>
      </c>
      <c r="D78" s="320">
        <v>101.7</v>
      </c>
      <c r="E78" s="227">
        <v>108.3</v>
      </c>
      <c r="F78" s="227">
        <v>110.68213</v>
      </c>
      <c r="G78" s="227">
        <v>109.436007</v>
      </c>
      <c r="H78" s="602" t="s">
        <v>328</v>
      </c>
      <c r="I78" s="602" t="s">
        <v>329</v>
      </c>
      <c r="J78" s="110"/>
      <c r="L78" s="538"/>
      <c r="M78" s="536"/>
    </row>
    <row r="79" spans="1:13" ht="30" customHeight="1">
      <c r="A79" s="345" t="s">
        <v>97</v>
      </c>
      <c r="B79" s="346" t="s">
        <v>306</v>
      </c>
      <c r="C79" s="366">
        <v>249.3</v>
      </c>
      <c r="D79" s="320">
        <v>253.1</v>
      </c>
      <c r="E79" s="227">
        <v>283.2</v>
      </c>
      <c r="F79" s="227">
        <v>53.908499999999997</v>
      </c>
      <c r="G79" s="227">
        <v>65.012529999999998</v>
      </c>
      <c r="H79" s="602" t="s">
        <v>328</v>
      </c>
      <c r="I79" s="602" t="s">
        <v>329</v>
      </c>
      <c r="J79" s="110"/>
      <c r="L79" s="536"/>
      <c r="M79" s="536"/>
    </row>
    <row r="80" spans="1:13" ht="16.350000000000001" customHeight="1">
      <c r="A80" s="358" t="s">
        <v>77</v>
      </c>
      <c r="B80" s="346" t="s">
        <v>306</v>
      </c>
      <c r="C80" s="566">
        <v>188</v>
      </c>
      <c r="D80" s="320">
        <v>231.9</v>
      </c>
      <c r="E80" s="227">
        <v>235.7</v>
      </c>
      <c r="F80" s="227">
        <v>229.540773</v>
      </c>
      <c r="G80" s="227">
        <v>217.071</v>
      </c>
      <c r="H80" s="471"/>
      <c r="I80" s="602" t="s">
        <v>329</v>
      </c>
      <c r="J80" s="110"/>
      <c r="L80" s="537"/>
      <c r="M80" s="536"/>
    </row>
    <row r="81" spans="1:10" ht="16.350000000000001" customHeight="1">
      <c r="A81" s="361" t="s">
        <v>330</v>
      </c>
      <c r="B81" s="346" t="s">
        <v>306</v>
      </c>
      <c r="C81" s="366">
        <v>1.2</v>
      </c>
      <c r="D81" s="320">
        <v>1.3</v>
      </c>
      <c r="E81" s="227">
        <v>1.3</v>
      </c>
      <c r="F81" s="227">
        <v>2.1593499999999999</v>
      </c>
      <c r="G81" s="227">
        <v>2.5622799999999999</v>
      </c>
      <c r="H81" s="475"/>
      <c r="I81" s="602" t="s">
        <v>329</v>
      </c>
      <c r="J81" s="110"/>
    </row>
    <row r="82" spans="1:10" ht="16.350000000000001" customHeight="1">
      <c r="A82" s="124" t="s">
        <v>331</v>
      </c>
      <c r="B82" s="362"/>
      <c r="C82" s="363"/>
      <c r="D82" s="363"/>
      <c r="E82" s="363"/>
      <c r="F82" s="363"/>
      <c r="G82" s="363"/>
      <c r="H82" s="107"/>
    </row>
    <row r="83" spans="1:10" ht="71.099999999999994" customHeight="1">
      <c r="A83" s="1030" t="s">
        <v>803</v>
      </c>
      <c r="B83" s="1030"/>
      <c r="C83" s="1030"/>
      <c r="D83" s="1030"/>
      <c r="E83" s="1030"/>
      <c r="F83" s="1030"/>
      <c r="G83" s="1030"/>
      <c r="H83" s="107"/>
      <c r="I83" s="573"/>
    </row>
    <row r="84" spans="1:10" ht="48" customHeight="1">
      <c r="A84" s="1030" t="s">
        <v>804</v>
      </c>
      <c r="B84" s="1030"/>
      <c r="C84" s="1030"/>
      <c r="D84" s="1030"/>
      <c r="E84" s="1030"/>
      <c r="F84" s="1030"/>
      <c r="G84" s="1030"/>
      <c r="H84" s="107"/>
      <c r="I84" s="573"/>
    </row>
    <row r="85" spans="1:10" ht="45" customHeight="1">
      <c r="A85" s="1039" t="s">
        <v>805</v>
      </c>
      <c r="B85" s="1039"/>
      <c r="C85" s="1039"/>
      <c r="D85" s="1039"/>
      <c r="E85" s="1039"/>
      <c r="F85" s="1039"/>
      <c r="G85" s="1039"/>
    </row>
    <row r="87" spans="1:10" ht="35.1" customHeight="1">
      <c r="A87" s="112" t="s">
        <v>332</v>
      </c>
      <c r="B87" s="96"/>
      <c r="C87" s="96"/>
      <c r="D87" s="373"/>
      <c r="E87" s="15"/>
      <c r="F87" s="15"/>
      <c r="G87" s="15"/>
      <c r="H87" s="110"/>
    </row>
    <row r="88" spans="1:10" s="71" customFormat="1" ht="15">
      <c r="A88" s="381" t="s">
        <v>143</v>
      </c>
      <c r="B88" s="388" t="s">
        <v>66</v>
      </c>
      <c r="C88" s="389">
        <v>2020</v>
      </c>
      <c r="D88" s="151">
        <v>2021</v>
      </c>
      <c r="E88" s="151">
        <v>2022</v>
      </c>
      <c r="F88" s="151">
        <v>2023</v>
      </c>
      <c r="G88" s="5">
        <v>2024</v>
      </c>
      <c r="H88" s="125"/>
    </row>
    <row r="89" spans="1:10" s="71" customFormat="1" ht="57" customHeight="1">
      <c r="A89" s="345" t="s">
        <v>94</v>
      </c>
      <c r="B89" s="346" t="s">
        <v>333</v>
      </c>
      <c r="C89" s="820">
        <v>1</v>
      </c>
      <c r="D89" s="832">
        <v>1.1000000000000001</v>
      </c>
      <c r="E89" s="832">
        <v>1.1000000000000001</v>
      </c>
      <c r="F89" s="832">
        <v>1.171</v>
      </c>
      <c r="G89" s="832">
        <v>1.172612</v>
      </c>
      <c r="H89" s="110"/>
      <c r="I89" s="110"/>
      <c r="J89" s="447" t="s">
        <v>27</v>
      </c>
    </row>
    <row r="90" spans="1:10" s="71" customFormat="1" ht="38.25">
      <c r="A90" s="345" t="s">
        <v>190</v>
      </c>
      <c r="B90" s="33" t="s">
        <v>334</v>
      </c>
      <c r="C90" s="346">
        <v>0.5</v>
      </c>
      <c r="D90" s="343">
        <v>0.5</v>
      </c>
      <c r="E90" s="832">
        <v>0.5</v>
      </c>
      <c r="F90" s="832">
        <v>0.50700000000000001</v>
      </c>
      <c r="G90" s="832">
        <v>0.74485000000000001</v>
      </c>
      <c r="H90" s="110"/>
      <c r="I90" s="110"/>
      <c r="J90" s="447" t="s">
        <v>27</v>
      </c>
    </row>
    <row r="91" spans="1:10" s="71" customFormat="1" ht="38.25">
      <c r="A91" s="345" t="s">
        <v>192</v>
      </c>
      <c r="B91" s="346" t="s">
        <v>335</v>
      </c>
      <c r="C91" s="346">
        <v>6.8</v>
      </c>
      <c r="D91" s="343">
        <v>6.8</v>
      </c>
      <c r="E91" s="832">
        <v>6.8</v>
      </c>
      <c r="F91" s="832">
        <v>6.798</v>
      </c>
      <c r="G91" s="971">
        <v>6.3372000000000002</v>
      </c>
      <c r="H91" s="110"/>
      <c r="I91" s="110"/>
      <c r="J91" s="447" t="s">
        <v>27</v>
      </c>
    </row>
    <row r="92" spans="1:10" s="71" customFormat="1" ht="38.25">
      <c r="A92" s="345" t="s">
        <v>336</v>
      </c>
      <c r="B92" s="346" t="s">
        <v>337</v>
      </c>
      <c r="C92" s="833">
        <v>7.0000000000000007E-2</v>
      </c>
      <c r="D92" s="832">
        <v>0.1</v>
      </c>
      <c r="E92" s="832">
        <v>0.1</v>
      </c>
      <c r="F92" s="832">
        <v>0.1285</v>
      </c>
      <c r="G92" s="832">
        <v>0.14459</v>
      </c>
      <c r="H92" s="110"/>
      <c r="I92" s="110"/>
      <c r="J92" s="447" t="s">
        <v>27</v>
      </c>
    </row>
    <row r="93" spans="1:10" s="71" customFormat="1" ht="60" customHeight="1">
      <c r="A93" s="345" t="s">
        <v>99</v>
      </c>
      <c r="B93" s="346" t="s">
        <v>338</v>
      </c>
      <c r="C93" s="346">
        <v>0.02</v>
      </c>
      <c r="D93" s="343">
        <v>0.02</v>
      </c>
      <c r="E93" s="834">
        <v>1.7000000000000001E-2</v>
      </c>
      <c r="F93" s="834">
        <v>1.8780000000000002E-2</v>
      </c>
      <c r="G93" s="972">
        <v>2.223E-2</v>
      </c>
      <c r="H93" s="110"/>
      <c r="I93" s="110"/>
      <c r="J93" s="447" t="s">
        <v>27</v>
      </c>
    </row>
    <row r="94" spans="1:10" s="71" customFormat="1" ht="51">
      <c r="A94" s="345" t="s">
        <v>77</v>
      </c>
      <c r="B94" s="346" t="s">
        <v>339</v>
      </c>
      <c r="C94" s="833">
        <v>32.9</v>
      </c>
      <c r="D94" s="832">
        <v>38.5</v>
      </c>
      <c r="E94" s="832">
        <v>41.6</v>
      </c>
      <c r="F94" s="832">
        <v>39.856699999999996</v>
      </c>
      <c r="G94" s="832">
        <v>37.478430000000003</v>
      </c>
      <c r="H94" s="110"/>
      <c r="I94" s="110"/>
      <c r="J94" s="447" t="s">
        <v>27</v>
      </c>
    </row>
    <row r="95" spans="1:10">
      <c r="A95" s="229" t="s">
        <v>79</v>
      </c>
      <c r="B95" s="230"/>
      <c r="C95" s="231"/>
      <c r="D95" s="168"/>
      <c r="E95" s="108"/>
      <c r="F95" s="108"/>
      <c r="G95" s="108"/>
      <c r="H95"/>
    </row>
    <row r="96" spans="1:10" ht="83.1" customHeight="1">
      <c r="A96" s="1030" t="s">
        <v>851</v>
      </c>
      <c r="B96" s="1030"/>
      <c r="C96" s="1030"/>
      <c r="D96" s="1030"/>
      <c r="E96" s="1030"/>
      <c r="F96" s="1030"/>
      <c r="G96" s="1030"/>
      <c r="H96" s="974"/>
    </row>
    <row r="98" spans="1:11" ht="36" customHeight="1">
      <c r="A98" s="112" t="s">
        <v>340</v>
      </c>
      <c r="B98" s="96"/>
      <c r="C98" s="96"/>
      <c r="D98" s="15"/>
      <c r="E98" s="15"/>
      <c r="F98" s="15"/>
      <c r="G98" s="15"/>
      <c r="K98" s="570"/>
    </row>
    <row r="99" spans="1:11">
      <c r="A99" s="381" t="s">
        <v>143</v>
      </c>
      <c r="B99" s="198" t="s">
        <v>66</v>
      </c>
      <c r="C99" s="356">
        <v>2020</v>
      </c>
      <c r="D99" s="374">
        <v>2021</v>
      </c>
      <c r="E99" s="374">
        <v>2022</v>
      </c>
      <c r="F99" s="374">
        <v>2023</v>
      </c>
      <c r="G99" s="20">
        <v>2024</v>
      </c>
    </row>
    <row r="100" spans="1:11" s="108" customFormat="1" ht="12.75">
      <c r="A100" s="202" t="s">
        <v>341</v>
      </c>
      <c r="B100" s="94" t="s">
        <v>116</v>
      </c>
      <c r="C100" s="835">
        <v>485.3</v>
      </c>
      <c r="D100" s="835">
        <v>529.6</v>
      </c>
      <c r="E100" s="835">
        <v>572.4</v>
      </c>
      <c r="F100" s="835">
        <v>327.2</v>
      </c>
      <c r="G100" s="835">
        <v>305.70519999999999</v>
      </c>
      <c r="H100" s="475" t="s">
        <v>324</v>
      </c>
      <c r="I100" s="464" t="s">
        <v>342</v>
      </c>
      <c r="J100" s="447" t="s">
        <v>27</v>
      </c>
      <c r="K100" s="107"/>
    </row>
    <row r="101" spans="1:11" s="108" customFormat="1" ht="12.75">
      <c r="A101" s="205" t="s">
        <v>262</v>
      </c>
      <c r="B101" s="94" t="s">
        <v>116</v>
      </c>
      <c r="C101" s="836">
        <v>297.5</v>
      </c>
      <c r="D101" s="836">
        <v>325.3</v>
      </c>
      <c r="E101" s="836">
        <v>348.30000000000007</v>
      </c>
      <c r="F101" s="836">
        <v>308.32399999999996</v>
      </c>
      <c r="G101" s="836">
        <v>291.87763000000001</v>
      </c>
      <c r="H101" s="475" t="s">
        <v>324</v>
      </c>
      <c r="I101" s="464" t="s">
        <v>342</v>
      </c>
      <c r="J101" s="447" t="s">
        <v>27</v>
      </c>
      <c r="K101" s="107"/>
    </row>
    <row r="102" spans="1:11" s="108" customFormat="1" ht="12.75">
      <c r="A102" s="205" t="s">
        <v>178</v>
      </c>
      <c r="B102" s="94" t="s">
        <v>116</v>
      </c>
      <c r="C102" s="836">
        <v>187.79999999999998</v>
      </c>
      <c r="D102" s="836">
        <v>204.29999999999998</v>
      </c>
      <c r="E102" s="836">
        <v>224.1</v>
      </c>
      <c r="F102" s="836">
        <v>18.931999999999999</v>
      </c>
      <c r="G102" s="836">
        <v>13.827570000000001</v>
      </c>
      <c r="H102" s="475" t="s">
        <v>324</v>
      </c>
      <c r="I102" s="464" t="s">
        <v>342</v>
      </c>
      <c r="J102" s="447" t="s">
        <v>27</v>
      </c>
    </row>
    <row r="103" spans="1:11" s="108" customFormat="1" ht="12.75">
      <c r="A103" s="355" t="s">
        <v>343</v>
      </c>
      <c r="B103" s="355"/>
      <c r="C103" s="837"/>
      <c r="D103" s="837"/>
      <c r="E103" s="837"/>
      <c r="F103" s="837"/>
      <c r="G103" s="837"/>
      <c r="H103" s="608"/>
    </row>
    <row r="104" spans="1:11" s="108" customFormat="1" ht="25.5">
      <c r="A104" s="202" t="s">
        <v>344</v>
      </c>
      <c r="B104" s="94" t="s">
        <v>116</v>
      </c>
      <c r="C104" s="835">
        <v>161.70000000000002</v>
      </c>
      <c r="D104" s="835">
        <v>210.3</v>
      </c>
      <c r="E104" s="835">
        <v>211.4</v>
      </c>
      <c r="F104" s="838">
        <v>210.82399999999998</v>
      </c>
      <c r="G104" s="838">
        <v>191.29179999999999</v>
      </c>
      <c r="H104" s="609" t="s">
        <v>324</v>
      </c>
      <c r="I104" s="464" t="s">
        <v>342</v>
      </c>
      <c r="J104" s="110"/>
    </row>
    <row r="105" spans="1:11" s="108" customFormat="1" ht="12.75">
      <c r="A105" s="205" t="s">
        <v>262</v>
      </c>
      <c r="B105" s="94" t="s">
        <v>116</v>
      </c>
      <c r="C105" s="836">
        <v>151.30000000000001</v>
      </c>
      <c r="D105" s="839">
        <v>197.8</v>
      </c>
      <c r="E105" s="840">
        <v>198.4</v>
      </c>
      <c r="F105" s="839">
        <v>192.15199999999999</v>
      </c>
      <c r="G105" s="839">
        <v>177.70421999999999</v>
      </c>
      <c r="H105" s="475" t="s">
        <v>324</v>
      </c>
      <c r="I105" s="464" t="s">
        <v>342</v>
      </c>
    </row>
    <row r="106" spans="1:11" s="108" customFormat="1" ht="12.75">
      <c r="A106" s="205" t="s">
        <v>178</v>
      </c>
      <c r="B106" s="94" t="s">
        <v>116</v>
      </c>
      <c r="C106" s="836">
        <v>10.4</v>
      </c>
      <c r="D106" s="839">
        <v>12.5</v>
      </c>
      <c r="E106" s="841">
        <v>13</v>
      </c>
      <c r="F106" s="839">
        <v>18.672000000000001</v>
      </c>
      <c r="G106" s="839">
        <v>13.587580000000001</v>
      </c>
      <c r="H106" s="475" t="s">
        <v>324</v>
      </c>
      <c r="I106" s="464" t="s">
        <v>342</v>
      </c>
    </row>
    <row r="107" spans="1:11" s="108" customFormat="1" ht="12.75">
      <c r="A107" s="202" t="s">
        <v>345</v>
      </c>
      <c r="B107" s="94" t="s">
        <v>116</v>
      </c>
      <c r="C107" s="835">
        <v>188.39999999999998</v>
      </c>
      <c r="D107" s="838">
        <v>202.7</v>
      </c>
      <c r="E107" s="835">
        <v>220.4</v>
      </c>
      <c r="F107" s="835">
        <v>11.683</v>
      </c>
      <c r="G107" s="835">
        <v>13.16846</v>
      </c>
      <c r="H107" s="609" t="s">
        <v>324</v>
      </c>
      <c r="I107" s="464" t="s">
        <v>342</v>
      </c>
      <c r="J107" s="110"/>
    </row>
    <row r="108" spans="1:11" s="108" customFormat="1" ht="12.75">
      <c r="A108" s="205" t="s">
        <v>262</v>
      </c>
      <c r="B108" s="94" t="s">
        <v>116</v>
      </c>
      <c r="C108" s="836">
        <v>12.7</v>
      </c>
      <c r="D108" s="839">
        <v>12.7</v>
      </c>
      <c r="E108" s="840">
        <v>11.8</v>
      </c>
      <c r="F108" s="840">
        <v>11.683</v>
      </c>
      <c r="G108" s="840">
        <v>13.16846</v>
      </c>
      <c r="H108" s="475" t="s">
        <v>324</v>
      </c>
      <c r="I108" s="464" t="s">
        <v>342</v>
      </c>
    </row>
    <row r="109" spans="1:11" s="108" customFormat="1" ht="12.75">
      <c r="A109" s="205" t="s">
        <v>178</v>
      </c>
      <c r="B109" s="94" t="s">
        <v>116</v>
      </c>
      <c r="C109" s="836">
        <v>175.7</v>
      </c>
      <c r="D109" s="842">
        <v>190</v>
      </c>
      <c r="E109" s="840">
        <v>208.6</v>
      </c>
      <c r="F109" s="841">
        <v>0</v>
      </c>
      <c r="G109" s="841">
        <v>0</v>
      </c>
      <c r="H109" s="475" t="s">
        <v>324</v>
      </c>
      <c r="I109" s="464" t="s">
        <v>342</v>
      </c>
    </row>
    <row r="110" spans="1:11" s="108" customFormat="1" ht="12.75">
      <c r="A110" s="248" t="s">
        <v>346</v>
      </c>
      <c r="B110" s="94" t="s">
        <v>116</v>
      </c>
      <c r="C110" s="835">
        <v>109.7</v>
      </c>
      <c r="D110" s="838">
        <v>83.6</v>
      </c>
      <c r="E110" s="835">
        <v>108.1</v>
      </c>
      <c r="F110" s="835">
        <v>74.539000000000001</v>
      </c>
      <c r="G110" s="835">
        <v>71.326390000000004</v>
      </c>
      <c r="H110" s="609" t="s">
        <v>324</v>
      </c>
      <c r="I110" s="464" t="s">
        <v>342</v>
      </c>
      <c r="J110" s="110"/>
    </row>
    <row r="111" spans="1:11" s="108" customFormat="1" ht="12.75">
      <c r="A111" s="205" t="s">
        <v>262</v>
      </c>
      <c r="B111" s="94" t="s">
        <v>116</v>
      </c>
      <c r="C111" s="836">
        <v>109.5</v>
      </c>
      <c r="D111" s="839">
        <v>83.5</v>
      </c>
      <c r="E111" s="841">
        <v>108</v>
      </c>
      <c r="F111" s="840">
        <v>74.338999999999999</v>
      </c>
      <c r="G111" s="840">
        <v>71.157390000000007</v>
      </c>
      <c r="H111" s="475" t="s">
        <v>324</v>
      </c>
      <c r="I111" s="464" t="s">
        <v>342</v>
      </c>
    </row>
    <row r="112" spans="1:11" s="108" customFormat="1" ht="12.75">
      <c r="A112" s="205" t="s">
        <v>178</v>
      </c>
      <c r="B112" s="94" t="s">
        <v>116</v>
      </c>
      <c r="C112" s="836">
        <v>0.2</v>
      </c>
      <c r="D112" s="795">
        <v>0.1</v>
      </c>
      <c r="E112" s="836">
        <v>0.1</v>
      </c>
      <c r="F112" s="836">
        <v>0.2</v>
      </c>
      <c r="G112" s="836">
        <v>0.16900000000000001</v>
      </c>
      <c r="H112" s="475" t="s">
        <v>324</v>
      </c>
      <c r="I112" s="464" t="s">
        <v>342</v>
      </c>
    </row>
    <row r="113" spans="1:11" s="108" customFormat="1" ht="25.5">
      <c r="A113" s="563" t="s">
        <v>347</v>
      </c>
      <c r="B113" s="94" t="s">
        <v>116</v>
      </c>
      <c r="C113" s="835">
        <v>25.5</v>
      </c>
      <c r="D113" s="838">
        <v>33</v>
      </c>
      <c r="E113" s="835">
        <v>32.5</v>
      </c>
      <c r="F113" s="838">
        <v>30.209999999999997</v>
      </c>
      <c r="G113" s="838">
        <v>29.91855</v>
      </c>
      <c r="H113" s="609" t="s">
        <v>324</v>
      </c>
      <c r="I113" s="464" t="s">
        <v>342</v>
      </c>
      <c r="J113" s="110"/>
    </row>
    <row r="114" spans="1:11" s="108" customFormat="1" ht="12.75">
      <c r="A114" s="205" t="s">
        <v>262</v>
      </c>
      <c r="B114" s="94" t="s">
        <v>116</v>
      </c>
      <c r="C114" s="843">
        <v>24</v>
      </c>
      <c r="D114" s="839">
        <v>31.3</v>
      </c>
      <c r="E114" s="840">
        <v>30.1</v>
      </c>
      <c r="F114" s="844">
        <v>30.15</v>
      </c>
      <c r="G114" s="845">
        <v>29.847560000000001</v>
      </c>
      <c r="H114" s="475" t="s">
        <v>324</v>
      </c>
      <c r="I114" s="464" t="s">
        <v>342</v>
      </c>
    </row>
    <row r="115" spans="1:11" s="108" customFormat="1" ht="12.75">
      <c r="A115" s="205" t="s">
        <v>178</v>
      </c>
      <c r="B115" s="94" t="s">
        <v>116</v>
      </c>
      <c r="C115" s="836">
        <v>1.5</v>
      </c>
      <c r="D115" s="795">
        <v>1.7</v>
      </c>
      <c r="E115" s="836">
        <v>2.4</v>
      </c>
      <c r="F115" s="846">
        <v>0.06</v>
      </c>
      <c r="G115" s="846">
        <v>7.0989999999999998E-2</v>
      </c>
      <c r="H115" s="475" t="s">
        <v>324</v>
      </c>
      <c r="I115" s="464" t="s">
        <v>342</v>
      </c>
    </row>
    <row r="116" spans="1:11" s="71" customFormat="1" ht="12.75">
      <c r="A116" s="232" t="s">
        <v>79</v>
      </c>
      <c r="B116" s="51"/>
      <c r="C116" s="233"/>
      <c r="D116" s="234"/>
    </row>
    <row r="117" spans="1:11" s="71" customFormat="1" ht="33" customHeight="1">
      <c r="A117" s="1024" t="s">
        <v>348</v>
      </c>
      <c r="B117" s="1024"/>
      <c r="C117" s="1024"/>
      <c r="D117" s="1024"/>
      <c r="E117" s="1024"/>
      <c r="F117" s="1024"/>
      <c r="G117" s="1024"/>
      <c r="H117" s="126"/>
    </row>
    <row r="119" spans="1:11" ht="35.1" customHeight="1">
      <c r="A119" s="1036" t="s">
        <v>349</v>
      </c>
      <c r="B119" s="1036"/>
      <c r="C119" s="1036"/>
      <c r="D119" s="1036"/>
      <c r="E119" s="192"/>
      <c r="F119" s="192"/>
      <c r="G119" s="192"/>
      <c r="H119" s="575"/>
    </row>
    <row r="120" spans="1:11">
      <c r="A120" s="381" t="s">
        <v>143</v>
      </c>
      <c r="B120" s="198" t="s">
        <v>66</v>
      </c>
      <c r="C120" s="5">
        <v>2020</v>
      </c>
      <c r="D120" s="5">
        <v>2021</v>
      </c>
      <c r="E120" s="151">
        <v>2022</v>
      </c>
      <c r="F120" s="151">
        <v>2023</v>
      </c>
      <c r="G120" s="5">
        <v>2024</v>
      </c>
      <c r="K120" s="6"/>
    </row>
    <row r="121" spans="1:11" s="71" customFormat="1" ht="25.5">
      <c r="A121" s="31" t="s">
        <v>350</v>
      </c>
      <c r="B121" s="32" t="s">
        <v>116</v>
      </c>
      <c r="C121" s="847">
        <v>350.1</v>
      </c>
      <c r="D121" s="847">
        <v>413</v>
      </c>
      <c r="E121" s="847">
        <v>431.8</v>
      </c>
      <c r="F121" s="847">
        <v>222.50799999999998</v>
      </c>
      <c r="G121" s="847">
        <v>204.46026000000001</v>
      </c>
      <c r="H121" s="475" t="s">
        <v>351</v>
      </c>
      <c r="I121" s="253"/>
      <c r="J121" s="793"/>
    </row>
    <row r="122" spans="1:11" s="71" customFormat="1" ht="12.75">
      <c r="A122" s="35" t="s">
        <v>177</v>
      </c>
      <c r="B122" s="32" t="s">
        <v>116</v>
      </c>
      <c r="C122" s="848">
        <v>164</v>
      </c>
      <c r="D122" s="848">
        <v>210.5</v>
      </c>
      <c r="E122" s="848">
        <v>210.20000000000002</v>
      </c>
      <c r="F122" s="848">
        <v>203.83599999999998</v>
      </c>
      <c r="G122" s="848">
        <v>190.87268</v>
      </c>
      <c r="H122" s="475" t="s">
        <v>324</v>
      </c>
      <c r="I122" s="253"/>
      <c r="J122" s="769"/>
    </row>
    <row r="123" spans="1:11" s="71" customFormat="1" ht="12.75">
      <c r="A123" s="35" t="s">
        <v>352</v>
      </c>
      <c r="B123" s="32" t="s">
        <v>116</v>
      </c>
      <c r="C123" s="848">
        <v>186.1</v>
      </c>
      <c r="D123" s="848">
        <v>202.5</v>
      </c>
      <c r="E123" s="848">
        <v>221.6</v>
      </c>
      <c r="F123" s="848">
        <v>18.671999999999997</v>
      </c>
      <c r="G123" s="848">
        <v>13.587579999999999</v>
      </c>
      <c r="H123" s="475" t="s">
        <v>324</v>
      </c>
    </row>
    <row r="124" spans="1:11" s="71" customFormat="1" ht="25.5">
      <c r="A124" s="44" t="s">
        <v>353</v>
      </c>
      <c r="B124" s="32" t="s">
        <v>116</v>
      </c>
      <c r="C124" s="847">
        <v>161.70000000000002</v>
      </c>
      <c r="D124" s="847">
        <v>210.3</v>
      </c>
      <c r="E124" s="847">
        <v>211.4</v>
      </c>
      <c r="F124" s="847">
        <v>210.82499999999999</v>
      </c>
      <c r="G124" s="847">
        <v>191.29179999999999</v>
      </c>
      <c r="H124" s="475" t="s">
        <v>351</v>
      </c>
      <c r="I124" s="253"/>
      <c r="J124" s="110"/>
    </row>
    <row r="125" spans="1:11" s="71" customFormat="1" ht="12.75">
      <c r="A125" s="35" t="s">
        <v>354</v>
      </c>
      <c r="B125" s="32" t="s">
        <v>116</v>
      </c>
      <c r="C125" s="848">
        <v>151.30000000000001</v>
      </c>
      <c r="D125" s="833">
        <v>197.8</v>
      </c>
      <c r="E125" s="848">
        <v>198.4</v>
      </c>
      <c r="F125" s="848">
        <v>192.15299999999999</v>
      </c>
      <c r="G125" s="848">
        <v>177.70421999999999</v>
      </c>
      <c r="H125" s="475" t="s">
        <v>324</v>
      </c>
    </row>
    <row r="126" spans="1:11" s="71" customFormat="1" ht="12.75">
      <c r="A126" s="35" t="s">
        <v>355</v>
      </c>
      <c r="B126" s="32" t="s">
        <v>116</v>
      </c>
      <c r="C126" s="848">
        <v>10.4</v>
      </c>
      <c r="D126" s="833">
        <v>12.5</v>
      </c>
      <c r="E126" s="848">
        <v>13</v>
      </c>
      <c r="F126" s="833">
        <v>18.671999999999997</v>
      </c>
      <c r="G126" s="833">
        <v>13.587579999999999</v>
      </c>
      <c r="H126" s="475" t="s">
        <v>324</v>
      </c>
    </row>
    <row r="127" spans="1:11" s="71" customFormat="1" ht="12.75">
      <c r="A127" s="34" t="s">
        <v>356</v>
      </c>
      <c r="B127" s="32" t="s">
        <v>116</v>
      </c>
      <c r="C127" s="847">
        <v>126.4</v>
      </c>
      <c r="D127" s="849">
        <v>172.5</v>
      </c>
      <c r="E127" s="847">
        <v>172.5</v>
      </c>
      <c r="F127" s="849">
        <v>173.50299999999999</v>
      </c>
      <c r="G127" s="849">
        <v>152.64554999999999</v>
      </c>
      <c r="H127" s="475" t="s">
        <v>351</v>
      </c>
      <c r="I127" s="110"/>
      <c r="J127" s="110"/>
    </row>
    <row r="128" spans="1:11" s="71" customFormat="1" ht="12.75">
      <c r="A128" s="35" t="s">
        <v>354</v>
      </c>
      <c r="B128" s="32" t="s">
        <v>116</v>
      </c>
      <c r="C128" s="850">
        <v>126.4</v>
      </c>
      <c r="D128" s="832">
        <v>172.5</v>
      </c>
      <c r="E128" s="850">
        <v>172.5</v>
      </c>
      <c r="F128" s="832">
        <v>167.90299999999999</v>
      </c>
      <c r="G128" s="832">
        <v>152.62057999999999</v>
      </c>
      <c r="H128" s="475" t="s">
        <v>324</v>
      </c>
    </row>
    <row r="129" spans="1:10" s="71" customFormat="1" ht="12.75">
      <c r="A129" s="35" t="s">
        <v>355</v>
      </c>
      <c r="B129" s="32" t="s">
        <v>116</v>
      </c>
      <c r="C129" s="851">
        <v>0</v>
      </c>
      <c r="D129" s="852">
        <v>0</v>
      </c>
      <c r="E129" s="853">
        <v>0</v>
      </c>
      <c r="F129" s="832">
        <v>5.6</v>
      </c>
      <c r="G129" s="834">
        <v>2.4969999999999999E-2</v>
      </c>
      <c r="H129" s="475" t="s">
        <v>324</v>
      </c>
      <c r="J129" s="737"/>
    </row>
    <row r="130" spans="1:10" s="71" customFormat="1" ht="12.75">
      <c r="A130" s="34" t="s">
        <v>357</v>
      </c>
      <c r="B130" s="32" t="s">
        <v>116</v>
      </c>
      <c r="C130" s="847">
        <v>26.700000000000003</v>
      </c>
      <c r="D130" s="849">
        <v>29.3</v>
      </c>
      <c r="E130" s="847">
        <v>30.6</v>
      </c>
      <c r="F130" s="847">
        <v>29.457999999999998</v>
      </c>
      <c r="G130" s="847">
        <v>38.646249999999995</v>
      </c>
      <c r="H130" s="475" t="s">
        <v>351</v>
      </c>
    </row>
    <row r="131" spans="1:10" s="71" customFormat="1" ht="12.75">
      <c r="A131" s="35" t="s">
        <v>354</v>
      </c>
      <c r="B131" s="32" t="s">
        <v>116</v>
      </c>
      <c r="C131" s="850">
        <v>16.3</v>
      </c>
      <c r="D131" s="832">
        <v>16.8</v>
      </c>
      <c r="E131" s="850">
        <v>17.600000000000001</v>
      </c>
      <c r="F131" s="850">
        <v>16.385999999999999</v>
      </c>
      <c r="G131" s="850">
        <v>25.083639999999999</v>
      </c>
      <c r="H131" s="475" t="s">
        <v>324</v>
      </c>
      <c r="I131" s="792"/>
    </row>
    <row r="132" spans="1:10" s="71" customFormat="1" ht="12.75">
      <c r="A132" s="35" t="s">
        <v>355</v>
      </c>
      <c r="B132" s="32" t="s">
        <v>116</v>
      </c>
      <c r="C132" s="850">
        <v>10.4</v>
      </c>
      <c r="D132" s="832">
        <v>12.5</v>
      </c>
      <c r="E132" s="853">
        <v>13</v>
      </c>
      <c r="F132" s="853">
        <v>13.071999999999999</v>
      </c>
      <c r="G132" s="850">
        <v>13.562609999999999</v>
      </c>
      <c r="H132" s="475" t="s">
        <v>324</v>
      </c>
      <c r="I132" s="253"/>
      <c r="J132" s="253"/>
    </row>
    <row r="133" spans="1:10" s="71" customFormat="1" ht="12.75">
      <c r="A133" s="34" t="s">
        <v>358</v>
      </c>
      <c r="B133" s="32" t="s">
        <v>116</v>
      </c>
      <c r="C133" s="847">
        <v>8.6</v>
      </c>
      <c r="D133" s="849">
        <v>8.5</v>
      </c>
      <c r="E133" s="847">
        <v>8.3000000000000007</v>
      </c>
      <c r="F133" s="847">
        <v>7.8639999999999999</v>
      </c>
      <c r="G133" s="549">
        <v>0</v>
      </c>
      <c r="H133" s="475" t="s">
        <v>351</v>
      </c>
      <c r="I133" s="253"/>
      <c r="J133" s="464" t="s">
        <v>359</v>
      </c>
    </row>
    <row r="134" spans="1:10" s="71" customFormat="1" ht="12.75">
      <c r="A134" s="35" t="s">
        <v>354</v>
      </c>
      <c r="B134" s="32" t="s">
        <v>116</v>
      </c>
      <c r="C134" s="850">
        <v>8.6</v>
      </c>
      <c r="D134" s="832">
        <v>8.5</v>
      </c>
      <c r="E134" s="850">
        <v>8.3000000000000007</v>
      </c>
      <c r="F134" s="850">
        <v>7.8639999999999999</v>
      </c>
      <c r="G134" s="853">
        <v>0</v>
      </c>
      <c r="H134" s="475" t="s">
        <v>324</v>
      </c>
      <c r="J134" s="464"/>
    </row>
    <row r="135" spans="1:10" s="71" customFormat="1" ht="12.75">
      <c r="A135" s="35" t="s">
        <v>355</v>
      </c>
      <c r="B135" s="32" t="s">
        <v>116</v>
      </c>
      <c r="C135" s="853">
        <v>0</v>
      </c>
      <c r="D135" s="852">
        <v>0</v>
      </c>
      <c r="E135" s="853">
        <v>0</v>
      </c>
      <c r="F135" s="853">
        <v>0</v>
      </c>
      <c r="G135" s="853">
        <v>0</v>
      </c>
      <c r="H135" s="475" t="s">
        <v>324</v>
      </c>
    </row>
    <row r="136" spans="1:10" s="71" customFormat="1" ht="25.5">
      <c r="A136" s="31" t="s">
        <v>360</v>
      </c>
      <c r="B136" s="32" t="s">
        <v>116</v>
      </c>
      <c r="C136" s="847">
        <v>188.39999999999998</v>
      </c>
      <c r="D136" s="849">
        <v>202.7</v>
      </c>
      <c r="E136" s="847">
        <v>220.4</v>
      </c>
      <c r="F136" s="847">
        <v>11.683000000000002</v>
      </c>
      <c r="G136" s="847">
        <v>13.16846</v>
      </c>
      <c r="H136" s="475" t="s">
        <v>351</v>
      </c>
      <c r="I136" s="110"/>
      <c r="J136" s="110"/>
    </row>
    <row r="137" spans="1:10">
      <c r="A137" s="35" t="s">
        <v>354</v>
      </c>
      <c r="B137" s="32" t="s">
        <v>116</v>
      </c>
      <c r="C137" s="850">
        <v>12.7</v>
      </c>
      <c r="D137" s="832">
        <v>12.7</v>
      </c>
      <c r="E137" s="850">
        <v>11.799999999999999</v>
      </c>
      <c r="F137" s="850">
        <v>11.683000000000002</v>
      </c>
      <c r="G137" s="850">
        <v>13.16846</v>
      </c>
      <c r="H137" s="475" t="s">
        <v>324</v>
      </c>
    </row>
    <row r="138" spans="1:10">
      <c r="A138" s="35" t="s">
        <v>355</v>
      </c>
      <c r="B138" s="32" t="s">
        <v>116</v>
      </c>
      <c r="C138" s="850">
        <v>175.7</v>
      </c>
      <c r="D138" s="832">
        <v>190</v>
      </c>
      <c r="E138" s="850">
        <v>208.6</v>
      </c>
      <c r="F138" s="853">
        <v>0</v>
      </c>
      <c r="G138" s="853">
        <v>0</v>
      </c>
      <c r="H138" s="475" t="s">
        <v>324</v>
      </c>
    </row>
    <row r="139" spans="1:10">
      <c r="A139" s="34" t="s">
        <v>361</v>
      </c>
      <c r="B139" s="32" t="s">
        <v>116</v>
      </c>
      <c r="C139" s="854">
        <v>188</v>
      </c>
      <c r="D139" s="855">
        <v>202.3</v>
      </c>
      <c r="E139" s="854">
        <v>219.6</v>
      </c>
      <c r="F139" s="854">
        <v>11.534000000000001</v>
      </c>
      <c r="G139" s="854">
        <v>13.04665</v>
      </c>
      <c r="H139" s="475" t="s">
        <v>351</v>
      </c>
      <c r="I139" s="110"/>
      <c r="J139" s="110"/>
    </row>
    <row r="140" spans="1:10">
      <c r="A140" s="35" t="s">
        <v>354</v>
      </c>
      <c r="B140" s="32" t="s">
        <v>116</v>
      </c>
      <c r="C140" s="850">
        <v>12.5</v>
      </c>
      <c r="D140" s="832">
        <v>12.5</v>
      </c>
      <c r="E140" s="850">
        <v>11.7</v>
      </c>
      <c r="F140" s="850">
        <v>11.534000000000001</v>
      </c>
      <c r="G140" s="850">
        <v>13.04665</v>
      </c>
      <c r="H140" s="475" t="s">
        <v>324</v>
      </c>
    </row>
    <row r="141" spans="1:10">
      <c r="A141" s="35" t="s">
        <v>355</v>
      </c>
      <c r="B141" s="32" t="s">
        <v>116</v>
      </c>
      <c r="C141" s="850">
        <v>175.5</v>
      </c>
      <c r="D141" s="832">
        <v>189.8</v>
      </c>
      <c r="E141" s="850">
        <v>207.9</v>
      </c>
      <c r="F141" s="853">
        <v>0</v>
      </c>
      <c r="G141" s="853">
        <v>0</v>
      </c>
      <c r="H141" s="475" t="s">
        <v>324</v>
      </c>
    </row>
    <row r="142" spans="1:10">
      <c r="A142" s="34" t="s">
        <v>362</v>
      </c>
      <c r="B142" s="32" t="s">
        <v>116</v>
      </c>
      <c r="C142" s="854">
        <v>0.2</v>
      </c>
      <c r="D142" s="856">
        <v>0</v>
      </c>
      <c r="E142" s="854">
        <v>0.7</v>
      </c>
      <c r="F142" s="857">
        <v>1.2E-2</v>
      </c>
      <c r="G142" s="857">
        <v>1.201E-2</v>
      </c>
      <c r="H142" s="475" t="s">
        <v>351</v>
      </c>
      <c r="I142" s="110"/>
      <c r="J142" s="110"/>
    </row>
    <row r="143" spans="1:10">
      <c r="A143" s="35" t="s">
        <v>354</v>
      </c>
      <c r="B143" s="32" t="s">
        <v>116</v>
      </c>
      <c r="C143" s="853">
        <v>0</v>
      </c>
      <c r="D143" s="852">
        <v>0</v>
      </c>
      <c r="E143" s="853">
        <v>0</v>
      </c>
      <c r="F143" s="858">
        <v>1.2E-2</v>
      </c>
      <c r="G143" s="858">
        <v>1.201E-2</v>
      </c>
      <c r="H143" s="475" t="s">
        <v>324</v>
      </c>
    </row>
    <row r="144" spans="1:10">
      <c r="A144" s="35" t="s">
        <v>355</v>
      </c>
      <c r="B144" s="32" t="s">
        <v>116</v>
      </c>
      <c r="C144" s="850">
        <v>0.2</v>
      </c>
      <c r="D144" s="852">
        <v>0</v>
      </c>
      <c r="E144" s="850">
        <v>0.7</v>
      </c>
      <c r="F144" s="853">
        <v>0</v>
      </c>
      <c r="G144" s="853">
        <v>0</v>
      </c>
      <c r="H144" s="475" t="s">
        <v>324</v>
      </c>
    </row>
    <row r="145" spans="1:12">
      <c r="A145" s="34" t="s">
        <v>363</v>
      </c>
      <c r="B145" s="32" t="s">
        <v>116</v>
      </c>
      <c r="C145" s="859">
        <v>0.2</v>
      </c>
      <c r="D145" s="855">
        <v>0.4</v>
      </c>
      <c r="E145" s="854">
        <v>0.1</v>
      </c>
      <c r="F145" s="854">
        <v>0.13700000000000001</v>
      </c>
      <c r="G145" s="854">
        <v>0.10979999999999999</v>
      </c>
      <c r="H145" s="475" t="s">
        <v>351</v>
      </c>
      <c r="I145" s="110"/>
      <c r="J145" s="464" t="s">
        <v>359</v>
      </c>
    </row>
    <row r="146" spans="1:12">
      <c r="A146" s="35" t="s">
        <v>354</v>
      </c>
      <c r="B146" s="32" t="s">
        <v>116</v>
      </c>
      <c r="C146" s="860">
        <v>0.2</v>
      </c>
      <c r="D146" s="832">
        <v>0.2</v>
      </c>
      <c r="E146" s="850">
        <v>0.1</v>
      </c>
      <c r="F146" s="850">
        <v>0.13700000000000001</v>
      </c>
      <c r="G146" s="850">
        <v>0.10979999999999999</v>
      </c>
      <c r="H146" s="475" t="s">
        <v>324</v>
      </c>
      <c r="J146" s="464"/>
    </row>
    <row r="147" spans="1:12">
      <c r="A147" s="35" t="s">
        <v>355</v>
      </c>
      <c r="B147" s="32" t="s">
        <v>116</v>
      </c>
      <c r="C147" s="37">
        <v>0</v>
      </c>
      <c r="D147" s="832">
        <v>0.2</v>
      </c>
      <c r="E147" s="853">
        <v>0</v>
      </c>
      <c r="F147" s="853">
        <v>0</v>
      </c>
      <c r="G147" s="853">
        <v>0</v>
      </c>
      <c r="H147" s="475" t="s">
        <v>324</v>
      </c>
    </row>
    <row r="148" spans="1:12" s="71" customFormat="1" ht="16.350000000000001" customHeight="1">
      <c r="A148" s="1032" t="s">
        <v>240</v>
      </c>
      <c r="B148" s="1033"/>
      <c r="C148" s="1033"/>
      <c r="D148" s="1033"/>
      <c r="E148" s="1033"/>
      <c r="F148" s="126"/>
      <c r="G148" s="126"/>
      <c r="H148" s="128"/>
    </row>
    <row r="149" spans="1:12" s="71" customFormat="1" ht="29.1" customHeight="1">
      <c r="A149" s="1024" t="s">
        <v>852</v>
      </c>
      <c r="B149" s="1024"/>
      <c r="C149" s="1024"/>
      <c r="D149" s="1024"/>
      <c r="E149" s="1024"/>
      <c r="F149" s="1024"/>
      <c r="G149" s="1024"/>
      <c r="H149"/>
    </row>
    <row r="151" spans="1:12" ht="35.1" customHeight="1">
      <c r="A151" s="488" t="s">
        <v>811</v>
      </c>
      <c r="B151" s="488"/>
      <c r="C151" s="488"/>
      <c r="D151" s="15"/>
      <c r="E151" s="15"/>
      <c r="F151" s="15"/>
      <c r="G151" s="15"/>
      <c r="H151" s="610"/>
    </row>
    <row r="152" spans="1:12">
      <c r="A152" s="381" t="s">
        <v>143</v>
      </c>
      <c r="B152" s="198" t="s">
        <v>66</v>
      </c>
      <c r="C152" s="20">
        <v>2020</v>
      </c>
      <c r="D152" s="20">
        <v>2021</v>
      </c>
      <c r="E152" s="374">
        <v>2022</v>
      </c>
      <c r="F152" s="374">
        <v>2023</v>
      </c>
      <c r="G152" s="20">
        <v>2024</v>
      </c>
      <c r="H152" s="129"/>
    </row>
    <row r="153" spans="1:12" ht="63.75">
      <c r="A153" s="99" t="s">
        <v>364</v>
      </c>
      <c r="B153" s="195" t="s">
        <v>333</v>
      </c>
      <c r="C153" s="195">
        <v>5.0000000000000001E-4</v>
      </c>
      <c r="D153" s="338">
        <v>2.9999999999999999E-7</v>
      </c>
      <c r="E153" s="397">
        <v>0</v>
      </c>
      <c r="F153" s="397">
        <v>0</v>
      </c>
      <c r="G153" s="266">
        <v>0</v>
      </c>
      <c r="H153" s="110"/>
      <c r="I153" s="110"/>
      <c r="J153" s="447" t="s">
        <v>27</v>
      </c>
    </row>
    <row r="154" spans="1:12" ht="38.25">
      <c r="A154" s="99" t="s">
        <v>190</v>
      </c>
      <c r="B154" s="195" t="s">
        <v>334</v>
      </c>
      <c r="C154" s="289">
        <v>0.2</v>
      </c>
      <c r="D154" s="339">
        <v>0.185</v>
      </c>
      <c r="E154" s="339">
        <v>0.17699999999999999</v>
      </c>
      <c r="F154" s="339">
        <v>0.16692000000000001</v>
      </c>
      <c r="G154" s="266">
        <v>0</v>
      </c>
      <c r="H154" s="110"/>
      <c r="I154" s="110"/>
      <c r="J154" s="447" t="s">
        <v>27</v>
      </c>
      <c r="K154" s="467"/>
      <c r="L154" s="467"/>
    </row>
    <row r="155" spans="1:12" ht="53.1" customHeight="1">
      <c r="A155" s="99" t="s">
        <v>336</v>
      </c>
      <c r="B155" s="195" t="s">
        <v>337</v>
      </c>
      <c r="C155" s="237">
        <v>1.5E-3</v>
      </c>
      <c r="D155" s="340">
        <v>4.0000000000000001E-3</v>
      </c>
      <c r="E155" s="397">
        <v>0</v>
      </c>
      <c r="F155" s="397">
        <v>0</v>
      </c>
      <c r="G155" s="266">
        <v>0</v>
      </c>
      <c r="H155" s="110"/>
      <c r="I155" s="110"/>
      <c r="J155" s="447" t="s">
        <v>27</v>
      </c>
    </row>
    <row r="156" spans="1:12" ht="62.1" customHeight="1">
      <c r="A156" s="99" t="s">
        <v>99</v>
      </c>
      <c r="B156" s="195" t="s">
        <v>338</v>
      </c>
      <c r="C156" s="237">
        <v>8.2000000000000007E-3</v>
      </c>
      <c r="D156" s="340">
        <v>8.0000000000000002E-3</v>
      </c>
      <c r="E156" s="340">
        <v>4.7999999999999996E-3</v>
      </c>
      <c r="F156" s="340">
        <v>6.0000000000000001E-3</v>
      </c>
      <c r="G156" s="973">
        <v>6.6350000000000003E-3</v>
      </c>
      <c r="H156"/>
      <c r="I156" s="110"/>
      <c r="J156" s="447" t="s">
        <v>27</v>
      </c>
    </row>
    <row r="157" spans="1:12">
      <c r="A157" s="1031" t="s">
        <v>245</v>
      </c>
      <c r="B157" s="1031"/>
      <c r="C157" s="1031"/>
      <c r="D157" s="71"/>
      <c r="E157" s="71"/>
      <c r="F157" s="71"/>
      <c r="G157" s="71"/>
    </row>
    <row r="158" spans="1:12" ht="32.25" customHeight="1">
      <c r="A158" s="1030" t="s">
        <v>365</v>
      </c>
      <c r="B158" s="1030"/>
      <c r="C158" s="1030"/>
      <c r="D158" s="1030"/>
      <c r="E158" s="1030"/>
      <c r="F158" s="1030"/>
      <c r="G158" s="1030"/>
      <c r="H158" s="128"/>
    </row>
    <row r="159" spans="1:12" ht="37.5" customHeight="1">
      <c r="A159" s="1030" t="s">
        <v>810</v>
      </c>
      <c r="B159" s="1030"/>
      <c r="C159" s="1030"/>
      <c r="D159" s="1030"/>
      <c r="E159" s="1030"/>
      <c r="F159" s="1030"/>
      <c r="G159" s="1030"/>
      <c r="H159" s="128"/>
    </row>
    <row r="162" spans="1:7">
      <c r="A162" s="6"/>
    </row>
    <row r="163" spans="1:7">
      <c r="A163" s="6"/>
    </row>
    <row r="166" spans="1:7">
      <c r="A166" s="89"/>
      <c r="B166" s="89"/>
      <c r="C166" s="190"/>
      <c r="D166" s="190"/>
      <c r="E166" s="190"/>
      <c r="F166" s="190"/>
      <c r="G166" s="190"/>
    </row>
  </sheetData>
  <mergeCells count="23">
    <mergeCell ref="A158:G158"/>
    <mergeCell ref="A159:G159"/>
    <mergeCell ref="A17:G17"/>
    <mergeCell ref="A18:G18"/>
    <mergeCell ref="A19:G19"/>
    <mergeCell ref="A41:G41"/>
    <mergeCell ref="A42:G42"/>
    <mergeCell ref="A44:F44"/>
    <mergeCell ref="A60:G60"/>
    <mergeCell ref="A74:G74"/>
    <mergeCell ref="A83:G83"/>
    <mergeCell ref="A84:G84"/>
    <mergeCell ref="A85:G85"/>
    <mergeCell ref="A149:G149"/>
    <mergeCell ref="A16:D16"/>
    <mergeCell ref="A157:C157"/>
    <mergeCell ref="A148:E148"/>
    <mergeCell ref="A40:D40"/>
    <mergeCell ref="A62:C62"/>
    <mergeCell ref="A73:C73"/>
    <mergeCell ref="A119:D119"/>
    <mergeCell ref="A96:G96"/>
    <mergeCell ref="A117:G117"/>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87"/>
  <sheetViews>
    <sheetView topLeftCell="A103" zoomScale="120" zoomScaleNormal="120" workbookViewId="0">
      <selection activeCell="J4" sqref="J4"/>
    </sheetView>
  </sheetViews>
  <sheetFormatPr defaultColWidth="11" defaultRowHeight="15.75"/>
  <cols>
    <col min="1" max="1" width="45.125" customWidth="1"/>
    <col min="2" max="2" width="15.625" style="9" customWidth="1"/>
    <col min="3" max="7" width="10.625" customWidth="1"/>
    <col min="8" max="8" width="10.625" style="71" customWidth="1"/>
    <col min="9" max="9" width="8.625" customWidth="1"/>
    <col min="10" max="10" width="10.625" customWidth="1"/>
  </cols>
  <sheetData>
    <row r="1" spans="1:12" ht="23.25" customHeight="1">
      <c r="A1" s="293" t="s">
        <v>366</v>
      </c>
      <c r="B1" s="293"/>
      <c r="C1" s="293"/>
      <c r="H1" s="540" t="s">
        <v>61</v>
      </c>
    </row>
    <row r="2" spans="1:12" ht="35.1" customHeight="1">
      <c r="A2" s="95" t="s">
        <v>367</v>
      </c>
      <c r="B2" s="95"/>
      <c r="C2" s="95"/>
      <c r="D2" s="95"/>
      <c r="E2" s="95"/>
      <c r="F2" s="95"/>
      <c r="G2" s="95"/>
      <c r="H2" s="132" t="s">
        <v>63</v>
      </c>
      <c r="I2" s="132" t="s">
        <v>25</v>
      </c>
      <c r="J2" s="132" t="s">
        <v>64</v>
      </c>
      <c r="K2" s="119"/>
    </row>
    <row r="3" spans="1:12">
      <c r="A3" s="381" t="s">
        <v>143</v>
      </c>
      <c r="B3" s="198" t="s">
        <v>66</v>
      </c>
      <c r="C3" s="199">
        <v>2020</v>
      </c>
      <c r="D3" s="201">
        <v>2021</v>
      </c>
      <c r="E3" s="201">
        <v>2022</v>
      </c>
      <c r="F3" s="201">
        <v>2023</v>
      </c>
      <c r="G3" s="199">
        <v>2024</v>
      </c>
      <c r="H3" s="116"/>
      <c r="K3" s="116"/>
    </row>
    <row r="4" spans="1:12" ht="24" customHeight="1">
      <c r="A4" s="202" t="s">
        <v>368</v>
      </c>
      <c r="B4" s="203" t="s">
        <v>369</v>
      </c>
      <c r="C4" s="861">
        <v>395</v>
      </c>
      <c r="D4" s="862">
        <v>425</v>
      </c>
      <c r="E4" s="862">
        <v>456.85300000000001</v>
      </c>
      <c r="F4" s="862">
        <v>466.79300000000001</v>
      </c>
      <c r="G4" s="862">
        <v>444.69400000000007</v>
      </c>
      <c r="H4" s="474" t="s">
        <v>370</v>
      </c>
      <c r="I4" s="474" t="s">
        <v>371</v>
      </c>
      <c r="J4" s="473" t="s">
        <v>372</v>
      </c>
      <c r="K4" s="117"/>
    </row>
    <row r="5" spans="1:12" ht="16.350000000000001" customHeight="1">
      <c r="A5" s="215" t="s">
        <v>177</v>
      </c>
      <c r="B5" s="336" t="s">
        <v>369</v>
      </c>
      <c r="C5" s="559">
        <v>376</v>
      </c>
      <c r="D5" s="559">
        <v>403</v>
      </c>
      <c r="E5" s="559">
        <v>436.86</v>
      </c>
      <c r="F5" s="559">
        <v>454.69499999999999</v>
      </c>
      <c r="G5" s="559">
        <v>429.74800000000005</v>
      </c>
      <c r="H5" s="473" t="s">
        <v>370</v>
      </c>
      <c r="I5" s="473" t="s">
        <v>371</v>
      </c>
      <c r="J5" s="447" t="s">
        <v>27</v>
      </c>
      <c r="K5" s="118"/>
    </row>
    <row r="6" spans="1:12" ht="16.350000000000001" customHeight="1">
      <c r="A6" s="215" t="s">
        <v>178</v>
      </c>
      <c r="B6" s="336" t="s">
        <v>369</v>
      </c>
      <c r="C6" s="559">
        <v>19</v>
      </c>
      <c r="D6" s="559">
        <v>22</v>
      </c>
      <c r="E6" s="559">
        <v>19.992999999999999</v>
      </c>
      <c r="F6" s="559">
        <v>12.097999999999999</v>
      </c>
      <c r="G6" s="559">
        <v>14.946</v>
      </c>
      <c r="H6" s="473" t="s">
        <v>370</v>
      </c>
      <c r="I6" s="473" t="s">
        <v>371</v>
      </c>
      <c r="J6" s="447" t="s">
        <v>27</v>
      </c>
      <c r="K6" s="118"/>
    </row>
    <row r="7" spans="1:12" ht="47.1" customHeight="1">
      <c r="A7" s="99" t="s">
        <v>373</v>
      </c>
      <c r="B7" s="214" t="s">
        <v>90</v>
      </c>
      <c r="C7" s="559"/>
      <c r="D7" s="559"/>
      <c r="E7" s="836">
        <v>4.4000000000000004</v>
      </c>
      <c r="F7" s="836">
        <v>4.3</v>
      </c>
      <c r="G7" s="836">
        <v>4.5</v>
      </c>
      <c r="H7" s="474" t="s">
        <v>374</v>
      </c>
      <c r="K7" s="529"/>
      <c r="L7" s="530"/>
    </row>
    <row r="8" spans="1:12" ht="30" customHeight="1">
      <c r="A8" s="250" t="s">
        <v>375</v>
      </c>
      <c r="B8" s="323" t="s">
        <v>376</v>
      </c>
      <c r="C8" s="559"/>
      <c r="D8" s="559"/>
      <c r="E8" s="843">
        <v>2</v>
      </c>
      <c r="F8" s="843">
        <v>2</v>
      </c>
      <c r="G8" s="843">
        <v>2</v>
      </c>
      <c r="H8" s="474" t="s">
        <v>374</v>
      </c>
      <c r="K8" s="118"/>
      <c r="L8" s="525"/>
    </row>
    <row r="9" spans="1:12" ht="27" customHeight="1">
      <c r="A9" s="68" t="s">
        <v>377</v>
      </c>
      <c r="B9" s="337"/>
      <c r="C9" s="863"/>
      <c r="D9" s="864"/>
      <c r="E9" s="864"/>
      <c r="F9" s="864"/>
      <c r="G9" s="864"/>
      <c r="H9" s="110"/>
      <c r="K9" s="110"/>
    </row>
    <row r="10" spans="1:12">
      <c r="A10" s="304" t="s">
        <v>378</v>
      </c>
      <c r="B10" s="336" t="s">
        <v>369</v>
      </c>
      <c r="C10" s="861">
        <v>45</v>
      </c>
      <c r="D10" s="861">
        <v>42</v>
      </c>
      <c r="E10" s="861">
        <v>41.213999999999999</v>
      </c>
      <c r="F10" s="861">
        <v>39.661000000000001</v>
      </c>
      <c r="G10" s="861">
        <v>38.500000000000007</v>
      </c>
      <c r="H10" s="474" t="s">
        <v>370</v>
      </c>
      <c r="I10" s="474" t="s">
        <v>371</v>
      </c>
      <c r="J10" s="110"/>
    </row>
    <row r="11" spans="1:12">
      <c r="A11" s="327" t="s">
        <v>379</v>
      </c>
      <c r="B11" s="336"/>
      <c r="C11" s="838"/>
      <c r="D11" s="838"/>
      <c r="E11" s="861"/>
      <c r="F11" s="861"/>
      <c r="G11" s="861"/>
      <c r="H11" s="474"/>
      <c r="I11" s="474"/>
      <c r="J11" s="110"/>
    </row>
    <row r="12" spans="1:12" ht="33.75">
      <c r="A12" s="327" t="s">
        <v>380</v>
      </c>
      <c r="B12" s="336" t="s">
        <v>369</v>
      </c>
      <c r="C12" s="838"/>
      <c r="D12" s="559">
        <v>17</v>
      </c>
      <c r="E12" s="559">
        <v>15</v>
      </c>
      <c r="F12" s="559">
        <v>15.009</v>
      </c>
      <c r="G12" s="559">
        <v>14.81</v>
      </c>
      <c r="H12" s="474" t="s">
        <v>381</v>
      </c>
      <c r="I12" s="474" t="s">
        <v>371</v>
      </c>
      <c r="J12" s="110"/>
    </row>
    <row r="13" spans="1:12" ht="34.35" customHeight="1">
      <c r="A13" s="327" t="s">
        <v>382</v>
      </c>
      <c r="B13" s="336" t="s">
        <v>369</v>
      </c>
      <c r="C13" s="838"/>
      <c r="D13" s="559">
        <v>7</v>
      </c>
      <c r="E13" s="559">
        <v>9</v>
      </c>
      <c r="F13" s="843">
        <v>6.8319999999999999</v>
      </c>
      <c r="G13" s="843">
        <v>6.71</v>
      </c>
      <c r="H13" s="474" t="s">
        <v>383</v>
      </c>
      <c r="I13" s="474" t="s">
        <v>371</v>
      </c>
      <c r="J13" s="110"/>
    </row>
    <row r="14" spans="1:12">
      <c r="A14" s="327" t="s">
        <v>127</v>
      </c>
      <c r="B14" s="336" t="s">
        <v>369</v>
      </c>
      <c r="C14" s="838"/>
      <c r="D14" s="559">
        <v>17</v>
      </c>
      <c r="E14" s="559">
        <v>17</v>
      </c>
      <c r="F14" s="843">
        <v>17.558</v>
      </c>
      <c r="G14" s="843">
        <v>16.71</v>
      </c>
      <c r="H14" s="474" t="s">
        <v>370</v>
      </c>
      <c r="I14" s="474" t="s">
        <v>371</v>
      </c>
      <c r="J14" s="110"/>
    </row>
    <row r="15" spans="1:12" ht="33.75">
      <c r="A15" s="327" t="s">
        <v>384</v>
      </c>
      <c r="B15" s="390" t="s">
        <v>369</v>
      </c>
      <c r="C15" s="838"/>
      <c r="D15" s="795">
        <v>0.3</v>
      </c>
      <c r="E15" s="795">
        <v>0.21400000000000002</v>
      </c>
      <c r="F15" s="795">
        <v>0.26200000000000001</v>
      </c>
      <c r="G15" s="836">
        <v>0.27</v>
      </c>
      <c r="H15" s="473" t="s">
        <v>385</v>
      </c>
      <c r="I15" s="474" t="s">
        <v>371</v>
      </c>
      <c r="J15" s="110"/>
    </row>
    <row r="16" spans="1:12">
      <c r="A16" s="327" t="s">
        <v>280</v>
      </c>
      <c r="B16" s="390"/>
      <c r="C16" s="838"/>
      <c r="D16" s="838"/>
      <c r="E16" s="861"/>
      <c r="F16" s="862"/>
      <c r="G16" s="862"/>
      <c r="H16" s="473"/>
    </row>
    <row r="17" spans="1:10">
      <c r="A17" s="215" t="s">
        <v>177</v>
      </c>
      <c r="B17" s="336" t="s">
        <v>369</v>
      </c>
      <c r="C17" s="842">
        <v>42</v>
      </c>
      <c r="D17" s="842">
        <v>40</v>
      </c>
      <c r="E17" s="842">
        <v>37</v>
      </c>
      <c r="F17" s="841">
        <v>38.332000000000001</v>
      </c>
      <c r="G17" s="841">
        <v>37.219000000000001</v>
      </c>
      <c r="H17" s="473" t="s">
        <v>370</v>
      </c>
    </row>
    <row r="18" spans="1:10">
      <c r="A18" s="99" t="s">
        <v>178</v>
      </c>
      <c r="B18" s="203" t="s">
        <v>369</v>
      </c>
      <c r="C18" s="842">
        <v>3</v>
      </c>
      <c r="D18" s="842">
        <v>2</v>
      </c>
      <c r="E18" s="839">
        <v>3.4849999999999999</v>
      </c>
      <c r="F18" s="840">
        <v>1.3280000000000001</v>
      </c>
      <c r="G18" s="840">
        <v>1.379</v>
      </c>
      <c r="H18" s="473" t="s">
        <v>370</v>
      </c>
    </row>
    <row r="19" spans="1:10">
      <c r="A19" s="304" t="s">
        <v>386</v>
      </c>
      <c r="B19" s="336" t="s">
        <v>369</v>
      </c>
      <c r="C19" s="861">
        <v>31.299999999999997</v>
      </c>
      <c r="D19" s="861">
        <v>34.982999999999997</v>
      </c>
      <c r="E19" s="861">
        <v>32.603000000000002</v>
      </c>
      <c r="F19" s="862">
        <v>24.196999999999999</v>
      </c>
      <c r="G19" s="862">
        <v>26.977</v>
      </c>
      <c r="H19" s="474" t="s">
        <v>370</v>
      </c>
      <c r="I19" s="474" t="s">
        <v>371</v>
      </c>
      <c r="J19" s="110"/>
    </row>
    <row r="20" spans="1:10">
      <c r="A20" s="327" t="s">
        <v>379</v>
      </c>
      <c r="B20" s="336"/>
      <c r="C20" s="838"/>
      <c r="D20" s="838"/>
      <c r="E20" s="838"/>
      <c r="F20" s="835"/>
      <c r="G20" s="835"/>
      <c r="H20" s="474"/>
      <c r="I20" s="474"/>
    </row>
    <row r="21" spans="1:10" ht="33.75">
      <c r="A21" s="327" t="s">
        <v>380</v>
      </c>
      <c r="B21" s="336" t="s">
        <v>369</v>
      </c>
      <c r="C21" s="838"/>
      <c r="D21" s="559">
        <v>19</v>
      </c>
      <c r="E21" s="559">
        <v>15.238</v>
      </c>
      <c r="F21" s="843">
        <v>13.336</v>
      </c>
      <c r="G21" s="843">
        <v>16.100000000000001</v>
      </c>
      <c r="H21" s="474" t="s">
        <v>381</v>
      </c>
      <c r="I21" s="474" t="s">
        <v>371</v>
      </c>
      <c r="J21" s="110"/>
    </row>
    <row r="22" spans="1:10" ht="35.1" customHeight="1">
      <c r="A22" s="327" t="s">
        <v>382</v>
      </c>
      <c r="B22" s="336" t="s">
        <v>369</v>
      </c>
      <c r="C22" s="838"/>
      <c r="D22" s="559">
        <v>15</v>
      </c>
      <c r="E22" s="559">
        <v>16.440000000000001</v>
      </c>
      <c r="F22" s="843">
        <v>10.023999999999999</v>
      </c>
      <c r="G22" s="843">
        <v>9.9730000000000008</v>
      </c>
      <c r="H22" s="474" t="s">
        <v>383</v>
      </c>
      <c r="I22" s="474" t="s">
        <v>371</v>
      </c>
      <c r="J22" s="110"/>
    </row>
    <row r="23" spans="1:10">
      <c r="A23" s="327" t="s">
        <v>387</v>
      </c>
      <c r="B23" s="336" t="s">
        <v>369</v>
      </c>
      <c r="C23" s="838"/>
      <c r="D23" s="795">
        <v>0.308</v>
      </c>
      <c r="E23" s="795">
        <v>0.58399999999999996</v>
      </c>
      <c r="F23" s="795">
        <v>0.29599999999999999</v>
      </c>
      <c r="G23" s="795">
        <v>0.27600000000000002</v>
      </c>
      <c r="H23" s="474" t="s">
        <v>370</v>
      </c>
      <c r="I23" s="474" t="s">
        <v>371</v>
      </c>
      <c r="J23" s="110"/>
    </row>
    <row r="24" spans="1:10" ht="38.1" customHeight="1">
      <c r="A24" s="327" t="s">
        <v>388</v>
      </c>
      <c r="B24" s="390" t="s">
        <v>369</v>
      </c>
      <c r="C24" s="838"/>
      <c r="D24" s="795">
        <v>0.67500000000000004</v>
      </c>
      <c r="E24" s="795">
        <v>0.57899999999999996</v>
      </c>
      <c r="F24" s="795">
        <v>0.54100000000000004</v>
      </c>
      <c r="G24" s="795">
        <v>0.628</v>
      </c>
      <c r="H24" s="474" t="s">
        <v>385</v>
      </c>
      <c r="I24" s="474" t="s">
        <v>371</v>
      </c>
      <c r="J24" s="110"/>
    </row>
    <row r="25" spans="1:10">
      <c r="A25" s="327" t="s">
        <v>280</v>
      </c>
      <c r="B25" s="336"/>
      <c r="C25" s="838"/>
      <c r="D25" s="559"/>
      <c r="E25" s="559"/>
      <c r="F25" s="559"/>
      <c r="G25" s="559"/>
      <c r="H25" s="474"/>
    </row>
    <row r="26" spans="1:10">
      <c r="A26" s="215" t="s">
        <v>177</v>
      </c>
      <c r="B26" s="336" t="s">
        <v>369</v>
      </c>
      <c r="C26" s="559">
        <v>19.2</v>
      </c>
      <c r="D26" s="559">
        <v>19</v>
      </c>
      <c r="E26" s="795">
        <v>20.457999999999998</v>
      </c>
      <c r="F26" s="795">
        <v>17.613</v>
      </c>
      <c r="G26" s="795">
        <v>17.77</v>
      </c>
      <c r="H26" s="473" t="s">
        <v>370</v>
      </c>
    </row>
    <row r="27" spans="1:10">
      <c r="A27" s="215" t="s">
        <v>178</v>
      </c>
      <c r="B27" s="336" t="s">
        <v>369</v>
      </c>
      <c r="C27" s="559">
        <v>12.1</v>
      </c>
      <c r="D27" s="559">
        <v>16</v>
      </c>
      <c r="E27" s="559">
        <v>12.381</v>
      </c>
      <c r="F27" s="843">
        <v>6.5839999999999996</v>
      </c>
      <c r="G27" s="843">
        <v>9.2080000000000002</v>
      </c>
      <c r="H27" s="473" t="s">
        <v>370</v>
      </c>
    </row>
    <row r="28" spans="1:10">
      <c r="A28" s="304" t="s">
        <v>389</v>
      </c>
      <c r="B28" s="336" t="s">
        <v>369</v>
      </c>
      <c r="C28" s="861">
        <v>14</v>
      </c>
      <c r="D28" s="861">
        <v>18.481999999999999</v>
      </c>
      <c r="E28" s="861">
        <v>20.721400000000003</v>
      </c>
      <c r="F28" s="862">
        <v>24.482000000000003</v>
      </c>
      <c r="G28" s="862">
        <v>22.557000000000002</v>
      </c>
      <c r="H28" s="474" t="s">
        <v>370</v>
      </c>
      <c r="I28" s="474" t="s">
        <v>390</v>
      </c>
      <c r="J28" s="110"/>
    </row>
    <row r="29" spans="1:10">
      <c r="A29" s="327" t="s">
        <v>379</v>
      </c>
      <c r="B29" s="336"/>
      <c r="C29" s="838"/>
      <c r="D29" s="838"/>
      <c r="E29" s="838"/>
      <c r="F29" s="835"/>
      <c r="G29" s="835"/>
      <c r="H29" s="474"/>
    </row>
    <row r="30" spans="1:10" ht="37.35" customHeight="1">
      <c r="A30" s="327" t="s">
        <v>125</v>
      </c>
      <c r="B30" s="336" t="s">
        <v>369</v>
      </c>
      <c r="C30" s="838"/>
      <c r="D30" s="559">
        <v>18</v>
      </c>
      <c r="E30" s="559">
        <v>20.059000000000001</v>
      </c>
      <c r="F30" s="843">
        <v>23.59</v>
      </c>
      <c r="G30" s="843">
        <v>21.751000000000001</v>
      </c>
      <c r="H30" s="474" t="s">
        <v>381</v>
      </c>
      <c r="I30" s="474" t="s">
        <v>390</v>
      </c>
      <c r="J30" s="110"/>
    </row>
    <row r="31" spans="1:10" ht="42" customHeight="1">
      <c r="A31" s="327" t="s">
        <v>391</v>
      </c>
      <c r="B31" s="336" t="s">
        <v>369</v>
      </c>
      <c r="C31" s="838"/>
      <c r="D31" s="795">
        <v>0.41199999999999998</v>
      </c>
      <c r="E31" s="836">
        <v>0.6</v>
      </c>
      <c r="F31" s="836">
        <v>0.82599999999999996</v>
      </c>
      <c r="G31" s="836">
        <v>0.75700000000000001</v>
      </c>
      <c r="H31" s="474" t="s">
        <v>383</v>
      </c>
      <c r="I31" s="474" t="s">
        <v>390</v>
      </c>
      <c r="J31" s="110"/>
    </row>
    <row r="32" spans="1:10">
      <c r="A32" s="327" t="s">
        <v>127</v>
      </c>
      <c r="B32" s="336" t="s">
        <v>369</v>
      </c>
      <c r="C32" s="838"/>
      <c r="D32" s="846">
        <v>0.03</v>
      </c>
      <c r="E32" s="846">
        <v>0.03</v>
      </c>
      <c r="F32" s="865">
        <v>0.03</v>
      </c>
      <c r="G32" s="865">
        <v>8.9999999999999993E-3</v>
      </c>
      <c r="H32" s="474" t="s">
        <v>370</v>
      </c>
      <c r="I32" s="474" t="s">
        <v>390</v>
      </c>
      <c r="J32" s="110"/>
    </row>
    <row r="33" spans="1:10" ht="33.75">
      <c r="A33" s="327" t="s">
        <v>388</v>
      </c>
      <c r="B33" s="390" t="s">
        <v>369</v>
      </c>
      <c r="C33" s="838"/>
      <c r="D33" s="846">
        <v>0.04</v>
      </c>
      <c r="E33" s="846">
        <v>3.2399999999999998E-2</v>
      </c>
      <c r="F33" s="865">
        <v>3.5999999999999997E-2</v>
      </c>
      <c r="G33" s="865">
        <v>0.04</v>
      </c>
      <c r="H33" s="474" t="s">
        <v>385</v>
      </c>
      <c r="I33" s="474" t="s">
        <v>390</v>
      </c>
      <c r="J33" s="110"/>
    </row>
    <row r="34" spans="1:10">
      <c r="A34" s="327" t="s">
        <v>280</v>
      </c>
      <c r="B34" s="336"/>
      <c r="C34" s="838"/>
      <c r="D34" s="838"/>
      <c r="E34" s="838"/>
      <c r="F34" s="835"/>
      <c r="G34" s="835"/>
      <c r="H34" s="474"/>
    </row>
    <row r="35" spans="1:10">
      <c r="A35" s="215" t="s">
        <v>177</v>
      </c>
      <c r="B35" s="336" t="s">
        <v>369</v>
      </c>
      <c r="C35" s="842">
        <v>13.8</v>
      </c>
      <c r="D35" s="842">
        <v>18</v>
      </c>
      <c r="E35" s="842">
        <v>20.457999999999998</v>
      </c>
      <c r="F35" s="841">
        <v>24.327999999999999</v>
      </c>
      <c r="G35" s="841">
        <v>22.4</v>
      </c>
      <c r="H35" s="473" t="s">
        <v>370</v>
      </c>
    </row>
    <row r="36" spans="1:10">
      <c r="A36" s="215" t="s">
        <v>178</v>
      </c>
      <c r="B36" s="336" t="s">
        <v>369</v>
      </c>
      <c r="C36" s="839">
        <v>0.2</v>
      </c>
      <c r="D36" s="839">
        <v>0.2</v>
      </c>
      <c r="E36" s="839">
        <v>0.20899999999999999</v>
      </c>
      <c r="F36" s="840">
        <v>0.155</v>
      </c>
      <c r="G36" s="840">
        <v>0.17799999999999999</v>
      </c>
      <c r="H36" s="473" t="s">
        <v>370</v>
      </c>
    </row>
    <row r="37" spans="1:10">
      <c r="A37" s="304" t="s">
        <v>392</v>
      </c>
      <c r="B37" s="336" t="s">
        <v>369</v>
      </c>
      <c r="C37" s="861">
        <v>142.80000000000001</v>
      </c>
      <c r="D37" s="861">
        <v>177</v>
      </c>
      <c r="E37" s="861">
        <v>198.20499999999998</v>
      </c>
      <c r="F37" s="862">
        <v>226.25500000000002</v>
      </c>
      <c r="G37" s="862">
        <v>212.155</v>
      </c>
      <c r="H37" s="474" t="s">
        <v>370</v>
      </c>
      <c r="I37" s="474" t="s">
        <v>390</v>
      </c>
      <c r="J37" s="110"/>
    </row>
    <row r="38" spans="1:10">
      <c r="A38" s="327" t="s">
        <v>379</v>
      </c>
      <c r="B38" s="336"/>
      <c r="C38" s="838"/>
      <c r="D38" s="838"/>
      <c r="E38" s="838"/>
      <c r="F38" s="835"/>
      <c r="G38" s="835"/>
      <c r="H38" s="474"/>
    </row>
    <row r="39" spans="1:10" ht="16.350000000000001" customHeight="1">
      <c r="A39" s="327" t="s">
        <v>125</v>
      </c>
      <c r="B39" s="336" t="s">
        <v>369</v>
      </c>
      <c r="C39" s="838"/>
      <c r="D39" s="559">
        <v>167</v>
      </c>
      <c r="E39" s="559">
        <v>188.68700000000001</v>
      </c>
      <c r="F39" s="843">
        <v>217.06100000000001</v>
      </c>
      <c r="G39" s="843">
        <v>202.16800000000001</v>
      </c>
      <c r="H39" s="474" t="s">
        <v>370</v>
      </c>
      <c r="I39" s="474" t="s">
        <v>390</v>
      </c>
      <c r="J39" s="110"/>
    </row>
    <row r="40" spans="1:10" ht="16.350000000000001" customHeight="1">
      <c r="A40" s="327" t="s">
        <v>391</v>
      </c>
      <c r="B40" s="336" t="s">
        <v>369</v>
      </c>
      <c r="C40" s="838"/>
      <c r="D40" s="559">
        <v>5</v>
      </c>
      <c r="E40" s="559">
        <v>5.5809999999999995</v>
      </c>
      <c r="F40" s="843">
        <v>4.7149999999999999</v>
      </c>
      <c r="G40" s="843">
        <v>5.6059999999999999</v>
      </c>
      <c r="H40" s="474" t="s">
        <v>370</v>
      </c>
      <c r="I40" s="474" t="s">
        <v>390</v>
      </c>
      <c r="J40" s="110"/>
    </row>
    <row r="41" spans="1:10">
      <c r="A41" s="327" t="s">
        <v>127</v>
      </c>
      <c r="B41" s="336" t="s">
        <v>369</v>
      </c>
      <c r="C41" s="838"/>
      <c r="D41" s="559">
        <v>4</v>
      </c>
      <c r="E41" s="559">
        <v>3.6709999999999998</v>
      </c>
      <c r="F41" s="843">
        <v>4.1189999999999998</v>
      </c>
      <c r="G41" s="843">
        <v>4.0410000000000004</v>
      </c>
      <c r="H41" s="474" t="s">
        <v>370</v>
      </c>
      <c r="I41" s="474" t="s">
        <v>390</v>
      </c>
      <c r="J41" s="110"/>
    </row>
    <row r="42" spans="1:10">
      <c r="A42" s="327" t="s">
        <v>388</v>
      </c>
      <c r="B42" s="390" t="s">
        <v>369</v>
      </c>
      <c r="C42" s="838"/>
      <c r="D42" s="795">
        <v>0.2</v>
      </c>
      <c r="E42" s="795">
        <v>0.26600000000000001</v>
      </c>
      <c r="F42" s="836">
        <v>0.36</v>
      </c>
      <c r="G42" s="836">
        <v>0.34</v>
      </c>
      <c r="H42" s="474" t="s">
        <v>370</v>
      </c>
      <c r="I42" s="474" t="s">
        <v>390</v>
      </c>
      <c r="J42" s="110"/>
    </row>
    <row r="43" spans="1:10">
      <c r="A43" s="204" t="s">
        <v>280</v>
      </c>
      <c r="B43" s="203"/>
      <c r="C43" s="835"/>
      <c r="D43" s="836"/>
      <c r="E43" s="836"/>
      <c r="F43" s="836"/>
      <c r="G43" s="836"/>
      <c r="H43" s="474"/>
      <c r="I43" s="474"/>
      <c r="J43" s="110"/>
    </row>
    <row r="44" spans="1:10">
      <c r="A44" s="99" t="s">
        <v>177</v>
      </c>
      <c r="B44" s="203" t="s">
        <v>369</v>
      </c>
      <c r="C44" s="843">
        <v>141</v>
      </c>
      <c r="D44" s="841">
        <v>175</v>
      </c>
      <c r="E44" s="840">
        <v>196.52</v>
      </c>
      <c r="F44" s="840">
        <v>224.785</v>
      </c>
      <c r="G44" s="840">
        <v>210.8</v>
      </c>
      <c r="H44" s="473" t="s">
        <v>370</v>
      </c>
    </row>
    <row r="45" spans="1:10">
      <c r="A45" s="99" t="s">
        <v>178</v>
      </c>
      <c r="B45" s="203" t="s">
        <v>369</v>
      </c>
      <c r="C45" s="843">
        <v>1.8</v>
      </c>
      <c r="D45" s="843">
        <v>2</v>
      </c>
      <c r="E45" s="836">
        <v>1.6830000000000001</v>
      </c>
      <c r="F45" s="836">
        <v>1.4710000000000001</v>
      </c>
      <c r="G45" s="836">
        <v>1.6479999999999999</v>
      </c>
      <c r="H45" s="473" t="s">
        <v>370</v>
      </c>
    </row>
    <row r="46" spans="1:10">
      <c r="A46" s="202" t="s">
        <v>393</v>
      </c>
      <c r="B46" s="203" t="s">
        <v>369</v>
      </c>
      <c r="C46" s="862">
        <v>48.9</v>
      </c>
      <c r="D46" s="862">
        <v>37.220000000000006</v>
      </c>
      <c r="E46" s="862">
        <v>39.583999999999996</v>
      </c>
      <c r="F46" s="862">
        <v>31.988999999999997</v>
      </c>
      <c r="G46" s="862">
        <v>29.817999999999998</v>
      </c>
      <c r="H46" s="474" t="s">
        <v>370</v>
      </c>
      <c r="J46" s="110"/>
    </row>
    <row r="47" spans="1:10">
      <c r="A47" s="204" t="s">
        <v>379</v>
      </c>
      <c r="B47" s="203"/>
      <c r="C47" s="835"/>
      <c r="D47" s="836"/>
      <c r="E47" s="836"/>
      <c r="F47" s="836"/>
      <c r="G47" s="836"/>
      <c r="H47" s="474"/>
    </row>
    <row r="48" spans="1:10">
      <c r="A48" s="204" t="s">
        <v>125</v>
      </c>
      <c r="B48" s="203" t="s">
        <v>369</v>
      </c>
      <c r="C48" s="835"/>
      <c r="D48" s="843">
        <v>35</v>
      </c>
      <c r="E48" s="843">
        <v>37.109000000000002</v>
      </c>
      <c r="F48" s="836">
        <v>30.623999999999999</v>
      </c>
      <c r="G48" s="836">
        <v>28.611999999999998</v>
      </c>
      <c r="H48" s="474" t="s">
        <v>370</v>
      </c>
      <c r="J48" s="110"/>
    </row>
    <row r="49" spans="1:10">
      <c r="A49" s="327" t="s">
        <v>391</v>
      </c>
      <c r="B49" s="336" t="s">
        <v>369</v>
      </c>
      <c r="C49" s="838"/>
      <c r="D49" s="559">
        <v>2</v>
      </c>
      <c r="E49" s="559">
        <v>1.9149999999999998</v>
      </c>
      <c r="F49" s="836">
        <v>1.2869999999999999</v>
      </c>
      <c r="G49" s="836">
        <v>1.0720000000000001</v>
      </c>
      <c r="H49" s="474" t="s">
        <v>370</v>
      </c>
      <c r="J49" s="110"/>
    </row>
    <row r="50" spans="1:10">
      <c r="A50" s="327" t="s">
        <v>127</v>
      </c>
      <c r="B50" s="336" t="s">
        <v>369</v>
      </c>
      <c r="C50" s="838"/>
      <c r="D50" s="795">
        <v>0.2</v>
      </c>
      <c r="E50" s="795">
        <v>0.52800000000000002</v>
      </c>
      <c r="F50" s="865">
        <v>2.8000000000000001E-2</v>
      </c>
      <c r="G50" s="865">
        <v>7.3999999999999996E-2</v>
      </c>
      <c r="H50" s="474" t="s">
        <v>370</v>
      </c>
      <c r="J50" s="110"/>
    </row>
    <row r="51" spans="1:10">
      <c r="A51" s="327" t="s">
        <v>388</v>
      </c>
      <c r="B51" s="390" t="s">
        <v>369</v>
      </c>
      <c r="C51" s="838"/>
      <c r="D51" s="846">
        <v>0.02</v>
      </c>
      <c r="E51" s="846">
        <v>3.2000000000000001E-2</v>
      </c>
      <c r="F51" s="865">
        <v>0.05</v>
      </c>
      <c r="G51" s="865">
        <v>0.06</v>
      </c>
      <c r="H51" s="474" t="s">
        <v>370</v>
      </c>
      <c r="J51" s="110"/>
    </row>
    <row r="52" spans="1:10">
      <c r="A52" s="327" t="s">
        <v>280</v>
      </c>
      <c r="B52" s="336"/>
      <c r="C52" s="838"/>
      <c r="D52" s="795"/>
      <c r="E52" s="795"/>
      <c r="F52" s="836"/>
      <c r="G52" s="836"/>
      <c r="H52" s="474"/>
    </row>
    <row r="53" spans="1:10">
      <c r="A53" s="215" t="s">
        <v>177</v>
      </c>
      <c r="B53" s="336" t="s">
        <v>369</v>
      </c>
      <c r="C53" s="842">
        <v>47.3</v>
      </c>
      <c r="D53" s="842">
        <v>35</v>
      </c>
      <c r="E53" s="842">
        <v>37.948999999999998</v>
      </c>
      <c r="F53" s="841">
        <v>29.986999999999998</v>
      </c>
      <c r="G53" s="841">
        <v>27.890999999999998</v>
      </c>
      <c r="H53" s="473" t="s">
        <v>370</v>
      </c>
    </row>
    <row r="54" spans="1:10">
      <c r="A54" s="215" t="s">
        <v>178</v>
      </c>
      <c r="B54" s="336" t="s">
        <v>369</v>
      </c>
      <c r="C54" s="842">
        <v>1.6</v>
      </c>
      <c r="D54" s="842">
        <v>2</v>
      </c>
      <c r="E54" s="842">
        <v>1.7150000000000001</v>
      </c>
      <c r="F54" s="841">
        <v>2.0019999999999998</v>
      </c>
      <c r="G54" s="841">
        <v>1.9330000000000001</v>
      </c>
      <c r="H54" s="473" t="s">
        <v>370</v>
      </c>
    </row>
    <row r="55" spans="1:10">
      <c r="A55" s="304" t="s">
        <v>394</v>
      </c>
      <c r="B55" s="336" t="s">
        <v>369</v>
      </c>
      <c r="C55" s="861">
        <v>111.03</v>
      </c>
      <c r="D55" s="861">
        <v>115.6</v>
      </c>
      <c r="E55" s="861">
        <v>123.575</v>
      </c>
      <c r="F55" s="862">
        <v>119.61500000000001</v>
      </c>
      <c r="G55" s="862">
        <v>113.601</v>
      </c>
      <c r="H55" s="474" t="s">
        <v>370</v>
      </c>
      <c r="I55" s="474" t="s">
        <v>371</v>
      </c>
      <c r="J55" s="110"/>
    </row>
    <row r="56" spans="1:10">
      <c r="A56" s="327" t="s">
        <v>379</v>
      </c>
      <c r="B56" s="336"/>
      <c r="C56" s="838"/>
      <c r="D56" s="838"/>
      <c r="E56" s="838"/>
      <c r="F56" s="835"/>
      <c r="G56" s="835"/>
      <c r="H56" s="474"/>
    </row>
    <row r="57" spans="1:10" ht="33.75">
      <c r="A57" s="327" t="s">
        <v>125</v>
      </c>
      <c r="B57" s="336" t="s">
        <v>369</v>
      </c>
      <c r="C57" s="838"/>
      <c r="D57" s="559">
        <v>87</v>
      </c>
      <c r="E57" s="559">
        <v>94.652000000000001</v>
      </c>
      <c r="F57" s="843">
        <v>89.254000000000005</v>
      </c>
      <c r="G57" s="843">
        <v>83.554000000000002</v>
      </c>
      <c r="H57" s="474" t="s">
        <v>381</v>
      </c>
      <c r="I57" s="474" t="s">
        <v>371</v>
      </c>
      <c r="J57" s="110"/>
    </row>
    <row r="58" spans="1:10" ht="33.75">
      <c r="A58" s="327" t="s">
        <v>395</v>
      </c>
      <c r="B58" s="336" t="s">
        <v>369</v>
      </c>
      <c r="C58" s="838"/>
      <c r="D58" s="559">
        <v>15</v>
      </c>
      <c r="E58" s="559">
        <v>15.556000000000001</v>
      </c>
      <c r="F58" s="843">
        <v>17.015000000000001</v>
      </c>
      <c r="G58" s="843">
        <v>17.5</v>
      </c>
      <c r="H58" s="474" t="s">
        <v>383</v>
      </c>
      <c r="I58" s="474" t="s">
        <v>371</v>
      </c>
      <c r="J58" s="110"/>
    </row>
    <row r="59" spans="1:10">
      <c r="A59" s="327" t="s">
        <v>127</v>
      </c>
      <c r="B59" s="336" t="s">
        <v>369</v>
      </c>
      <c r="C59" s="838"/>
      <c r="D59" s="795">
        <v>0.6</v>
      </c>
      <c r="E59" s="795">
        <v>0.498</v>
      </c>
      <c r="F59" s="836">
        <v>0.433</v>
      </c>
      <c r="G59" s="836">
        <v>0.57699999999999996</v>
      </c>
      <c r="H59" s="474" t="s">
        <v>370</v>
      </c>
      <c r="I59" s="474" t="s">
        <v>371</v>
      </c>
      <c r="J59" s="110"/>
    </row>
    <row r="60" spans="1:10" ht="33.75">
      <c r="A60" s="327" t="s">
        <v>384</v>
      </c>
      <c r="B60" s="390" t="s">
        <v>369</v>
      </c>
      <c r="C60" s="838"/>
      <c r="D60" s="559">
        <v>13</v>
      </c>
      <c r="E60" s="559">
        <v>12.869</v>
      </c>
      <c r="F60" s="843">
        <v>12.913</v>
      </c>
      <c r="G60" s="843">
        <v>11.97</v>
      </c>
      <c r="H60" s="474" t="s">
        <v>385</v>
      </c>
      <c r="I60" s="474" t="s">
        <v>371</v>
      </c>
      <c r="J60" s="110"/>
    </row>
    <row r="61" spans="1:10">
      <c r="A61" s="327" t="s">
        <v>280</v>
      </c>
      <c r="B61" s="390"/>
      <c r="C61" s="838"/>
      <c r="D61" s="838"/>
      <c r="E61" s="838"/>
      <c r="F61" s="835"/>
      <c r="G61" s="835"/>
      <c r="H61" s="474"/>
    </row>
    <row r="62" spans="1:10">
      <c r="A62" s="215" t="s">
        <v>177</v>
      </c>
      <c r="B62" s="390" t="s">
        <v>369</v>
      </c>
      <c r="C62" s="842">
        <v>111</v>
      </c>
      <c r="D62" s="842">
        <v>115</v>
      </c>
      <c r="E62" s="842">
        <v>123.08</v>
      </c>
      <c r="F62" s="841">
        <v>119.13</v>
      </c>
      <c r="G62" s="841">
        <v>113.096</v>
      </c>
      <c r="H62" s="473" t="s">
        <v>370</v>
      </c>
    </row>
    <row r="63" spans="1:10">
      <c r="A63" s="215" t="s">
        <v>178</v>
      </c>
      <c r="B63" s="390" t="s">
        <v>369</v>
      </c>
      <c r="C63" s="844">
        <v>0.03</v>
      </c>
      <c r="D63" s="844">
        <v>0.52200000000000002</v>
      </c>
      <c r="E63" s="844">
        <v>0.5</v>
      </c>
      <c r="F63" s="845">
        <v>0.53800000000000003</v>
      </c>
      <c r="G63" s="845">
        <v>0.57999999999999996</v>
      </c>
      <c r="H63" s="473" t="s">
        <v>370</v>
      </c>
    </row>
    <row r="64" spans="1:10">
      <c r="A64" s="304" t="s">
        <v>396</v>
      </c>
      <c r="B64" s="390" t="s">
        <v>369</v>
      </c>
      <c r="C64" s="861">
        <v>1.72</v>
      </c>
      <c r="D64" s="861">
        <v>0.89999999999999991</v>
      </c>
      <c r="E64" s="861">
        <v>1.4121999999999999</v>
      </c>
      <c r="F64" s="861">
        <v>0.53700000000000003</v>
      </c>
      <c r="G64" s="861">
        <v>0.58779999999999999</v>
      </c>
      <c r="H64" s="473" t="s">
        <v>370</v>
      </c>
      <c r="I64" s="474" t="s">
        <v>390</v>
      </c>
      <c r="J64" s="110"/>
    </row>
    <row r="65" spans="1:10">
      <c r="A65" s="327" t="s">
        <v>379</v>
      </c>
      <c r="B65" s="390"/>
      <c r="C65" s="866"/>
      <c r="D65" s="866"/>
      <c r="E65" s="346"/>
      <c r="F65" s="346"/>
      <c r="G65" s="346"/>
      <c r="H65" s="473"/>
    </row>
    <row r="66" spans="1:10">
      <c r="A66" s="327" t="s">
        <v>125</v>
      </c>
      <c r="B66" s="390" t="s">
        <v>369</v>
      </c>
      <c r="C66" s="866"/>
      <c r="D66" s="795">
        <v>0.5</v>
      </c>
      <c r="E66" s="795">
        <v>1.06</v>
      </c>
      <c r="F66" s="795">
        <v>0.38200000000000001</v>
      </c>
      <c r="G66" s="795">
        <v>0.379</v>
      </c>
      <c r="H66" s="473" t="s">
        <v>370</v>
      </c>
      <c r="I66" s="474" t="s">
        <v>390</v>
      </c>
      <c r="J66" s="110"/>
    </row>
    <row r="67" spans="1:10">
      <c r="A67" s="327" t="s">
        <v>391</v>
      </c>
      <c r="B67" s="390" t="s">
        <v>369</v>
      </c>
      <c r="C67" s="866"/>
      <c r="D67" s="795">
        <v>0.2</v>
      </c>
      <c r="E67" s="795">
        <v>0.16400000000000001</v>
      </c>
      <c r="F67" s="795">
        <v>0.13900000000000001</v>
      </c>
      <c r="G67" s="795">
        <v>0.17699999999999999</v>
      </c>
      <c r="H67" s="473" t="s">
        <v>370</v>
      </c>
      <c r="I67" s="474" t="s">
        <v>390</v>
      </c>
      <c r="J67" s="110"/>
    </row>
    <row r="68" spans="1:10">
      <c r="A68" s="327" t="s">
        <v>127</v>
      </c>
      <c r="B68" s="390" t="s">
        <v>369</v>
      </c>
      <c r="C68" s="866"/>
      <c r="D68" s="795">
        <v>0.1</v>
      </c>
      <c r="E68" s="846">
        <v>1.7999999999999999E-2</v>
      </c>
      <c r="F68" s="865">
        <v>8.9999999999999993E-3</v>
      </c>
      <c r="G68" s="865">
        <v>1.95E-2</v>
      </c>
      <c r="H68" s="473" t="s">
        <v>370</v>
      </c>
      <c r="I68" s="474" t="s">
        <v>390</v>
      </c>
      <c r="J68" s="110"/>
    </row>
    <row r="69" spans="1:10">
      <c r="A69" s="327" t="s">
        <v>384</v>
      </c>
      <c r="B69" s="390" t="s">
        <v>369</v>
      </c>
      <c r="C69" s="866"/>
      <c r="D69" s="795">
        <v>0.1</v>
      </c>
      <c r="E69" s="795">
        <v>0.17020000000000002</v>
      </c>
      <c r="F69" s="865">
        <v>7.0000000000000001E-3</v>
      </c>
      <c r="G69" s="865">
        <v>1.23E-2</v>
      </c>
      <c r="H69" s="473" t="s">
        <v>370</v>
      </c>
      <c r="I69" s="474" t="s">
        <v>390</v>
      </c>
      <c r="J69" s="110"/>
    </row>
    <row r="70" spans="1:10">
      <c r="A70" s="327" t="s">
        <v>280</v>
      </c>
      <c r="B70" s="390"/>
      <c r="C70" s="866"/>
      <c r="D70" s="795"/>
      <c r="E70" s="795"/>
      <c r="F70" s="836"/>
      <c r="G70" s="836"/>
      <c r="H70" s="473"/>
    </row>
    <row r="71" spans="1:10">
      <c r="A71" s="215" t="s">
        <v>177</v>
      </c>
      <c r="B71" s="336" t="s">
        <v>369</v>
      </c>
      <c r="C71" s="842">
        <v>1.7</v>
      </c>
      <c r="D71" s="842">
        <v>1</v>
      </c>
      <c r="E71" s="842">
        <v>1.395</v>
      </c>
      <c r="F71" s="841">
        <v>0.52</v>
      </c>
      <c r="G71" s="841">
        <v>0.57199999999999995</v>
      </c>
      <c r="H71" s="473" t="s">
        <v>370</v>
      </c>
    </row>
    <row r="72" spans="1:10">
      <c r="A72" s="215" t="s">
        <v>178</v>
      </c>
      <c r="B72" s="336" t="s">
        <v>369</v>
      </c>
      <c r="C72" s="863">
        <v>0.02</v>
      </c>
      <c r="D72" s="844">
        <v>0.02</v>
      </c>
      <c r="E72" s="844">
        <v>0.02</v>
      </c>
      <c r="F72" s="844">
        <v>0.02</v>
      </c>
      <c r="G72" s="844">
        <v>0.02</v>
      </c>
      <c r="H72" s="473" t="s">
        <v>370</v>
      </c>
    </row>
    <row r="73" spans="1:10" s="108" customFormat="1" ht="12.75">
      <c r="A73" s="375" t="s">
        <v>68</v>
      </c>
      <c r="B73" s="238"/>
      <c r="C73" s="239"/>
      <c r="D73" s="168"/>
    </row>
    <row r="74" spans="1:10" ht="105" customHeight="1">
      <c r="A74" s="1030" t="s">
        <v>807</v>
      </c>
      <c r="B74" s="1030"/>
      <c r="C74" s="1030"/>
      <c r="D74" s="1030"/>
      <c r="E74" s="1030"/>
      <c r="F74" s="1030"/>
      <c r="G74" s="1030"/>
    </row>
    <row r="75" spans="1:10" ht="51" customHeight="1">
      <c r="A75" s="1040" t="s">
        <v>815</v>
      </c>
      <c r="B75" s="1040"/>
      <c r="C75" s="1040"/>
      <c r="D75" s="1040"/>
      <c r="E75" s="1040"/>
      <c r="F75" s="1040"/>
      <c r="G75" s="1040"/>
    </row>
    <row r="76" spans="1:10" ht="35.1" customHeight="1">
      <c r="A76" s="1041" t="s">
        <v>397</v>
      </c>
      <c r="B76" s="1041"/>
      <c r="C76" s="1041"/>
      <c r="D76" s="1041"/>
      <c r="E76" s="1041"/>
      <c r="F76" s="1041"/>
      <c r="G76" s="1041"/>
      <c r="H76" s="130"/>
    </row>
    <row r="78" spans="1:10" ht="35.1" customHeight="1">
      <c r="A78" s="95" t="s">
        <v>808</v>
      </c>
      <c r="B78" s="334"/>
      <c r="C78" s="334"/>
      <c r="D78" s="334"/>
      <c r="E78" s="334"/>
      <c r="F78" s="334"/>
      <c r="G78" s="334"/>
      <c r="H78" s="335"/>
    </row>
    <row r="79" spans="1:10">
      <c r="A79" s="381" t="s">
        <v>143</v>
      </c>
      <c r="B79" s="198" t="s">
        <v>66</v>
      </c>
      <c r="C79" s="20">
        <v>2020</v>
      </c>
      <c r="D79" s="20">
        <v>2021</v>
      </c>
      <c r="E79" s="374">
        <v>2022</v>
      </c>
      <c r="F79" s="374">
        <v>2023</v>
      </c>
      <c r="G79" s="20">
        <v>2024</v>
      </c>
      <c r="H79" s="131"/>
    </row>
    <row r="80" spans="1:10" ht="48" customHeight="1">
      <c r="A80" s="204" t="s">
        <v>94</v>
      </c>
      <c r="B80" s="195" t="s">
        <v>398</v>
      </c>
      <c r="C80" s="867">
        <v>3.3</v>
      </c>
      <c r="D80" s="868">
        <v>3.5</v>
      </c>
      <c r="E80" s="840">
        <v>3.7</v>
      </c>
      <c r="F80" s="840">
        <v>4.0350000000000001</v>
      </c>
      <c r="G80" s="840">
        <v>3.8</v>
      </c>
      <c r="H80" s="110"/>
      <c r="I80" s="110"/>
      <c r="J80" s="464" t="s">
        <v>27</v>
      </c>
    </row>
    <row r="81" spans="1:10" ht="39">
      <c r="A81" s="99" t="s">
        <v>190</v>
      </c>
      <c r="B81" s="390" t="s">
        <v>399</v>
      </c>
      <c r="C81" s="867">
        <v>0.8</v>
      </c>
      <c r="D81" s="868">
        <v>0.8</v>
      </c>
      <c r="E81" s="840">
        <v>0.8</v>
      </c>
      <c r="F81" s="840">
        <v>0.76300000000000001</v>
      </c>
      <c r="G81" s="956">
        <v>0.81799999999999995</v>
      </c>
      <c r="H81" s="110"/>
      <c r="I81" s="110"/>
      <c r="J81" s="464" t="s">
        <v>27</v>
      </c>
    </row>
    <row r="82" spans="1:10" ht="39">
      <c r="A82" s="99" t="s">
        <v>192</v>
      </c>
      <c r="B82" s="390" t="s">
        <v>399</v>
      </c>
      <c r="C82" s="867">
        <v>1.6</v>
      </c>
      <c r="D82" s="868">
        <v>1.5</v>
      </c>
      <c r="E82" s="840">
        <v>1.7</v>
      </c>
      <c r="F82" s="840">
        <v>1.603</v>
      </c>
      <c r="G82" s="957">
        <v>1.56335</v>
      </c>
      <c r="H82" s="110"/>
      <c r="I82" s="110"/>
      <c r="J82" s="464" t="s">
        <v>27</v>
      </c>
    </row>
    <row r="83" spans="1:10" ht="47.25" customHeight="1">
      <c r="A83" s="99" t="s">
        <v>336</v>
      </c>
      <c r="B83" s="195" t="s">
        <v>400</v>
      </c>
      <c r="C83" s="867">
        <v>0.7</v>
      </c>
      <c r="D83" s="868">
        <v>0.9</v>
      </c>
      <c r="E83" s="840">
        <v>0.8</v>
      </c>
      <c r="F83" s="840">
        <v>0.875</v>
      </c>
      <c r="G83" s="956">
        <v>0.83499999999999996</v>
      </c>
      <c r="H83" s="110"/>
      <c r="I83" s="110"/>
      <c r="J83" s="464" t="s">
        <v>27</v>
      </c>
    </row>
    <row r="84" spans="1:10" ht="26.25">
      <c r="A84" s="99" t="s">
        <v>99</v>
      </c>
      <c r="B84" s="390" t="s">
        <v>401</v>
      </c>
      <c r="C84" s="867">
        <v>0.2</v>
      </c>
      <c r="D84" s="868">
        <v>0.2</v>
      </c>
      <c r="E84" s="840">
        <v>0.2</v>
      </c>
      <c r="F84" s="840">
        <v>0.14199999999999999</v>
      </c>
      <c r="G84" s="957">
        <v>0.18054000000000001</v>
      </c>
      <c r="H84" s="110"/>
      <c r="I84" s="110"/>
      <c r="J84" s="464" t="s">
        <v>27</v>
      </c>
    </row>
    <row r="85" spans="1:10" ht="39">
      <c r="A85" s="99" t="s">
        <v>77</v>
      </c>
      <c r="B85" s="390" t="s">
        <v>402</v>
      </c>
      <c r="C85" s="867">
        <v>3.5</v>
      </c>
      <c r="D85" s="863">
        <v>3.2</v>
      </c>
      <c r="E85" s="839">
        <v>3.4</v>
      </c>
      <c r="F85" s="839">
        <v>3.5760000000000001</v>
      </c>
      <c r="G85" s="956">
        <v>3.456</v>
      </c>
      <c r="H85" s="110"/>
      <c r="I85" s="110"/>
      <c r="J85" s="464" t="s">
        <v>27</v>
      </c>
    </row>
    <row r="86" spans="1:10">
      <c r="A86" s="177" t="s">
        <v>68</v>
      </c>
      <c r="B86" s="240"/>
      <c r="C86" s="174"/>
      <c r="D86" s="234"/>
      <c r="E86" s="71"/>
      <c r="F86" s="71"/>
      <c r="G86" s="71"/>
    </row>
    <row r="87" spans="1:10" ht="48" customHeight="1">
      <c r="A87" s="1008" t="s">
        <v>809</v>
      </c>
      <c r="B87" s="1008"/>
      <c r="C87" s="1008"/>
      <c r="D87" s="1008"/>
      <c r="E87" s="1008"/>
      <c r="F87" s="1008"/>
      <c r="G87" s="1008"/>
    </row>
  </sheetData>
  <mergeCells count="4">
    <mergeCell ref="A74:G74"/>
    <mergeCell ref="A75:G75"/>
    <mergeCell ref="A76:G76"/>
    <mergeCell ref="A87:G87"/>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96"/>
  <sheetViews>
    <sheetView topLeftCell="A91" zoomScale="120" zoomScaleNormal="120" workbookViewId="0">
      <selection activeCell="A21" sqref="A21:G21"/>
    </sheetView>
  </sheetViews>
  <sheetFormatPr defaultColWidth="11" defaultRowHeight="15.75"/>
  <cols>
    <col min="1" max="1" width="41.125" customWidth="1"/>
    <col min="2" max="7" width="10.625" customWidth="1"/>
    <col min="8" max="8" width="10.625" style="108" customWidth="1"/>
    <col min="9" max="9" width="8.625" customWidth="1"/>
    <col min="10" max="10" width="10.625" customWidth="1"/>
  </cols>
  <sheetData>
    <row r="1" spans="1:17" ht="25.5" customHeight="1">
      <c r="A1" s="11" t="s">
        <v>403</v>
      </c>
      <c r="H1" s="540" t="s">
        <v>61</v>
      </c>
    </row>
    <row r="2" spans="1:17" ht="35.1" customHeight="1">
      <c r="A2" s="1034" t="s">
        <v>404</v>
      </c>
      <c r="B2" s="1034"/>
      <c r="C2" s="1034"/>
      <c r="D2" s="1034"/>
      <c r="E2" s="192"/>
      <c r="F2" s="192"/>
      <c r="G2" s="192"/>
      <c r="H2" s="132" t="s">
        <v>63</v>
      </c>
      <c r="I2" s="701" t="s">
        <v>25</v>
      </c>
      <c r="J2" s="701" t="s">
        <v>64</v>
      </c>
    </row>
    <row r="3" spans="1:17" s="71" customFormat="1" ht="16.350000000000001" customHeight="1">
      <c r="A3" s="381" t="s">
        <v>143</v>
      </c>
      <c r="B3" s="198" t="s">
        <v>66</v>
      </c>
      <c r="C3" s="20">
        <v>2020</v>
      </c>
      <c r="D3" s="314">
        <v>2021</v>
      </c>
      <c r="E3" s="20">
        <v>2022</v>
      </c>
      <c r="F3" s="20">
        <v>2023</v>
      </c>
      <c r="G3" s="20">
        <v>2024</v>
      </c>
      <c r="H3" s="438"/>
      <c r="I3" s="438"/>
      <c r="M3"/>
      <c r="N3"/>
      <c r="O3"/>
      <c r="P3"/>
      <c r="Q3"/>
    </row>
    <row r="4" spans="1:17" s="71" customFormat="1" ht="39" customHeight="1">
      <c r="A4" s="326" t="s">
        <v>405</v>
      </c>
      <c r="B4" s="94" t="s">
        <v>406</v>
      </c>
      <c r="C4" s="869">
        <v>3367.1</v>
      </c>
      <c r="D4" s="869">
        <v>3523.3</v>
      </c>
      <c r="E4" s="869">
        <v>3652.7</v>
      </c>
      <c r="F4" s="869">
        <v>3777.5499999999997</v>
      </c>
      <c r="G4" s="869">
        <v>3767.32</v>
      </c>
      <c r="H4" s="779"/>
      <c r="I4" s="110"/>
      <c r="J4" s="110"/>
      <c r="K4" s="781"/>
      <c r="L4" s="558"/>
      <c r="M4"/>
      <c r="N4"/>
      <c r="O4"/>
      <c r="P4"/>
      <c r="Q4"/>
    </row>
    <row r="5" spans="1:17" s="71" customFormat="1" ht="33.950000000000003" customHeight="1">
      <c r="A5" s="215" t="s">
        <v>177</v>
      </c>
      <c r="B5" s="94" t="s">
        <v>406</v>
      </c>
      <c r="C5" s="870">
        <v>3340</v>
      </c>
      <c r="D5" s="870">
        <v>3495</v>
      </c>
      <c r="E5" s="870">
        <v>3626.7</v>
      </c>
      <c r="F5" s="870">
        <v>3753.2</v>
      </c>
      <c r="G5" s="870">
        <v>3745.79</v>
      </c>
      <c r="H5" s="585"/>
      <c r="L5" s="558"/>
      <c r="M5"/>
      <c r="N5"/>
      <c r="O5"/>
      <c r="P5"/>
      <c r="Q5"/>
    </row>
    <row r="6" spans="1:17" s="71" customFormat="1" ht="29.1" customHeight="1">
      <c r="A6" s="215" t="s">
        <v>263</v>
      </c>
      <c r="B6" s="94" t="s">
        <v>406</v>
      </c>
      <c r="C6" s="842">
        <v>27.1</v>
      </c>
      <c r="D6" s="842">
        <v>28.3</v>
      </c>
      <c r="E6" s="842">
        <v>26</v>
      </c>
      <c r="F6" s="870">
        <v>24.35</v>
      </c>
      <c r="G6" s="842">
        <v>21.53</v>
      </c>
      <c r="H6" s="586"/>
      <c r="L6" s="558"/>
      <c r="M6"/>
      <c r="N6"/>
      <c r="O6"/>
      <c r="P6"/>
      <c r="Q6"/>
    </row>
    <row r="7" spans="1:17" s="71" customFormat="1" ht="25.35" customHeight="1">
      <c r="A7" s="202" t="s">
        <v>407</v>
      </c>
      <c r="B7" s="94" t="s">
        <v>406</v>
      </c>
      <c r="C7" s="869">
        <v>2368.4</v>
      </c>
      <c r="D7" s="869">
        <v>2142.9</v>
      </c>
      <c r="E7" s="869">
        <v>2117.3000000000002</v>
      </c>
      <c r="F7" s="869">
        <v>2111.4</v>
      </c>
      <c r="G7" s="869">
        <v>2186.9236999999998</v>
      </c>
      <c r="H7" s="478" t="s">
        <v>408</v>
      </c>
      <c r="I7" s="464" t="s">
        <v>409</v>
      </c>
      <c r="J7" s="615" t="s">
        <v>410</v>
      </c>
      <c r="L7" s="558"/>
      <c r="M7"/>
      <c r="N7"/>
      <c r="O7"/>
      <c r="P7"/>
      <c r="Q7"/>
    </row>
    <row r="8" spans="1:17" s="71" customFormat="1" ht="25.5">
      <c r="A8" s="99" t="s">
        <v>177</v>
      </c>
      <c r="B8" s="94" t="s">
        <v>406</v>
      </c>
      <c r="C8" s="870">
        <v>2150.4</v>
      </c>
      <c r="D8" s="870">
        <v>2045.9</v>
      </c>
      <c r="E8" s="870">
        <v>2019.3</v>
      </c>
      <c r="F8" s="870">
        <v>2040.7</v>
      </c>
      <c r="G8" s="871">
        <v>2121</v>
      </c>
      <c r="H8" s="478" t="s">
        <v>408</v>
      </c>
      <c r="I8" s="464" t="s">
        <v>409</v>
      </c>
      <c r="J8" s="615" t="s">
        <v>411</v>
      </c>
      <c r="M8"/>
      <c r="N8"/>
      <c r="O8"/>
      <c r="P8"/>
      <c r="Q8"/>
    </row>
    <row r="9" spans="1:17" s="71" customFormat="1" ht="25.5">
      <c r="A9" s="99" t="s">
        <v>263</v>
      </c>
      <c r="B9" s="94" t="s">
        <v>406</v>
      </c>
      <c r="C9" s="870">
        <v>218</v>
      </c>
      <c r="D9" s="870">
        <v>97</v>
      </c>
      <c r="E9" s="870">
        <v>98</v>
      </c>
      <c r="F9" s="870">
        <v>70.7</v>
      </c>
      <c r="G9" s="870">
        <v>65.923699999999997</v>
      </c>
      <c r="H9" s="478" t="s">
        <v>408</v>
      </c>
      <c r="I9" s="464" t="s">
        <v>409</v>
      </c>
      <c r="J9" s="465" t="s">
        <v>412</v>
      </c>
      <c r="M9"/>
      <c r="N9"/>
      <c r="O9"/>
      <c r="P9"/>
      <c r="Q9"/>
    </row>
    <row r="10" spans="1:17" s="71" customFormat="1" ht="25.5">
      <c r="A10" s="304" t="s">
        <v>413</v>
      </c>
      <c r="B10" s="94" t="s">
        <v>406</v>
      </c>
      <c r="C10" s="869">
        <v>4.3</v>
      </c>
      <c r="D10" s="869">
        <v>5.8</v>
      </c>
      <c r="E10" s="869">
        <v>4.28</v>
      </c>
      <c r="F10" s="869">
        <v>4.5430000000000001</v>
      </c>
      <c r="G10" s="872">
        <v>0.26129999999999998</v>
      </c>
      <c r="H10" s="310"/>
      <c r="I10" s="110"/>
      <c r="J10" s="110"/>
      <c r="M10"/>
      <c r="N10"/>
      <c r="O10"/>
      <c r="P10"/>
      <c r="Q10"/>
    </row>
    <row r="11" spans="1:17" s="71" customFormat="1" ht="25.5">
      <c r="A11" s="99" t="s">
        <v>177</v>
      </c>
      <c r="B11" s="94" t="s">
        <v>406</v>
      </c>
      <c r="C11" s="870">
        <v>4.2</v>
      </c>
      <c r="D11" s="870">
        <v>5.6</v>
      </c>
      <c r="E11" s="870">
        <v>3.98</v>
      </c>
      <c r="F11" s="870">
        <v>4.343</v>
      </c>
      <c r="G11" s="870">
        <v>0</v>
      </c>
      <c r="H11" s="587"/>
      <c r="M11"/>
      <c r="N11"/>
      <c r="O11"/>
      <c r="P11"/>
      <c r="Q11"/>
    </row>
    <row r="12" spans="1:17" s="71" customFormat="1" ht="25.5">
      <c r="A12" s="99" t="s">
        <v>263</v>
      </c>
      <c r="B12" s="94" t="s">
        <v>406</v>
      </c>
      <c r="C12" s="873">
        <v>0.1</v>
      </c>
      <c r="D12" s="873">
        <v>0.2</v>
      </c>
      <c r="E12" s="873">
        <v>0.3</v>
      </c>
      <c r="F12" s="873">
        <v>0.2</v>
      </c>
      <c r="G12" s="873">
        <v>0.26129999999999998</v>
      </c>
      <c r="H12" s="587"/>
      <c r="M12"/>
      <c r="N12"/>
      <c r="O12"/>
      <c r="P12"/>
      <c r="Q12"/>
    </row>
    <row r="13" spans="1:17" s="71" customFormat="1" ht="25.5">
      <c r="A13" s="304" t="s">
        <v>414</v>
      </c>
      <c r="B13" s="195" t="s">
        <v>406</v>
      </c>
      <c r="C13" s="869">
        <v>2217.1</v>
      </c>
      <c r="D13" s="869">
        <v>2019.9</v>
      </c>
      <c r="E13" s="869">
        <v>1996.5700000000002</v>
      </c>
      <c r="F13" s="869">
        <v>2126.8980000000001</v>
      </c>
      <c r="G13" s="869">
        <v>2110.8470000000002</v>
      </c>
      <c r="H13" s="780"/>
      <c r="I13" s="464" t="s">
        <v>409</v>
      </c>
      <c r="J13" s="465" t="s">
        <v>415</v>
      </c>
      <c r="K13" s="558"/>
      <c r="L13" s="643"/>
      <c r="M13"/>
      <c r="N13"/>
      <c r="O13"/>
      <c r="P13"/>
      <c r="Q13"/>
    </row>
    <row r="14" spans="1:17" s="71" customFormat="1" ht="25.5">
      <c r="A14" s="99" t="s">
        <v>177</v>
      </c>
      <c r="B14" s="195" t="s">
        <v>406</v>
      </c>
      <c r="C14" s="870">
        <v>2000.2</v>
      </c>
      <c r="D14" s="870">
        <v>1920.9</v>
      </c>
      <c r="E14" s="870">
        <v>1896.7</v>
      </c>
      <c r="F14" s="870">
        <v>2056</v>
      </c>
      <c r="G14" s="874">
        <v>2043</v>
      </c>
      <c r="H14" s="589"/>
      <c r="I14" s="464" t="s">
        <v>409</v>
      </c>
      <c r="J14" s="615" t="s">
        <v>416</v>
      </c>
      <c r="K14" s="558"/>
      <c r="L14" s="558"/>
      <c r="M14"/>
      <c r="N14"/>
      <c r="O14"/>
      <c r="P14"/>
      <c r="Q14"/>
    </row>
    <row r="15" spans="1:17" s="71" customFormat="1" ht="25.5">
      <c r="A15" s="99" t="s">
        <v>263</v>
      </c>
      <c r="B15" s="195" t="s">
        <v>406</v>
      </c>
      <c r="C15" s="870">
        <v>216.9</v>
      </c>
      <c r="D15" s="870">
        <v>99</v>
      </c>
      <c r="E15" s="870">
        <v>99.87</v>
      </c>
      <c r="F15" s="870">
        <v>71.400000000000006</v>
      </c>
      <c r="G15" s="874">
        <v>67.846999999999994</v>
      </c>
      <c r="H15" s="589"/>
      <c r="I15" s="464" t="s">
        <v>409</v>
      </c>
      <c r="J15" s="465" t="s">
        <v>415</v>
      </c>
      <c r="M15"/>
      <c r="N15"/>
      <c r="O15"/>
      <c r="P15"/>
      <c r="Q15"/>
    </row>
    <row r="16" spans="1:17" s="71" customFormat="1" ht="25.5">
      <c r="A16" s="243" t="s">
        <v>417</v>
      </c>
      <c r="B16" s="244" t="s">
        <v>406</v>
      </c>
      <c r="C16" s="869">
        <v>3522.1</v>
      </c>
      <c r="D16" s="869">
        <v>3652.4</v>
      </c>
      <c r="E16" s="869">
        <v>3777.5499999999997</v>
      </c>
      <c r="F16" s="869">
        <v>3767.32</v>
      </c>
      <c r="G16" s="869">
        <v>3843</v>
      </c>
      <c r="H16" s="310"/>
      <c r="I16" s="583"/>
      <c r="J16" s="545"/>
      <c r="M16"/>
      <c r="N16"/>
      <c r="O16"/>
      <c r="P16"/>
      <c r="Q16"/>
    </row>
    <row r="17" spans="1:17" s="71" customFormat="1" ht="25.5">
      <c r="A17" s="99" t="s">
        <v>177</v>
      </c>
      <c r="B17" s="94" t="s">
        <v>406</v>
      </c>
      <c r="C17" s="875">
        <v>3494.1</v>
      </c>
      <c r="D17" s="870">
        <v>3626.4</v>
      </c>
      <c r="E17" s="870">
        <v>3753.2</v>
      </c>
      <c r="F17" s="870">
        <v>3745.79</v>
      </c>
      <c r="G17" s="870">
        <v>3823</v>
      </c>
      <c r="H17" s="779"/>
      <c r="I17" s="310"/>
      <c r="J17" s="110"/>
      <c r="M17"/>
      <c r="N17"/>
      <c r="O17"/>
      <c r="P17"/>
      <c r="Q17"/>
    </row>
    <row r="18" spans="1:17" s="71" customFormat="1" ht="25.5">
      <c r="A18" s="99" t="s">
        <v>263</v>
      </c>
      <c r="B18" s="94" t="s">
        <v>406</v>
      </c>
      <c r="C18" s="870">
        <v>28</v>
      </c>
      <c r="D18" s="870">
        <v>26</v>
      </c>
      <c r="E18" s="870">
        <v>24.35</v>
      </c>
      <c r="F18" s="870">
        <v>21.53</v>
      </c>
      <c r="G18" s="870">
        <v>20</v>
      </c>
      <c r="H18" s="587"/>
      <c r="I18" s="438"/>
      <c r="M18"/>
      <c r="N18"/>
      <c r="O18"/>
      <c r="P18"/>
      <c r="Q18"/>
    </row>
    <row r="19" spans="1:17" s="71" customFormat="1">
      <c r="A19" s="245" t="s">
        <v>79</v>
      </c>
      <c r="B19" s="246"/>
      <c r="C19" s="247"/>
      <c r="D19" s="163"/>
      <c r="E19" s="110"/>
      <c r="F19" s="110"/>
      <c r="G19" s="110"/>
      <c r="H19" s="108"/>
      <c r="M19"/>
      <c r="N19"/>
      <c r="O19"/>
      <c r="P19"/>
      <c r="Q19"/>
    </row>
    <row r="20" spans="1:17" ht="117.95" customHeight="1">
      <c r="A20" s="1030" t="s">
        <v>812</v>
      </c>
      <c r="B20" s="1030"/>
      <c r="C20" s="1030"/>
      <c r="D20" s="1030"/>
      <c r="E20" s="1030"/>
      <c r="F20" s="1030"/>
      <c r="G20" s="1030"/>
    </row>
    <row r="21" spans="1:17" ht="78" customHeight="1">
      <c r="A21" s="1049" t="s">
        <v>829</v>
      </c>
      <c r="B21" s="1050"/>
      <c r="C21" s="1050"/>
      <c r="D21" s="1050"/>
      <c r="E21" s="1050"/>
      <c r="F21" s="1050"/>
      <c r="G21" s="1050"/>
      <c r="H21"/>
    </row>
    <row r="22" spans="1:17" ht="51" customHeight="1">
      <c r="A22" s="1051" t="s">
        <v>817</v>
      </c>
      <c r="B22" s="1051"/>
      <c r="C22" s="1051"/>
      <c r="D22" s="1051"/>
      <c r="E22" s="1051"/>
      <c r="F22" s="1051"/>
      <c r="G22" s="1051"/>
    </row>
    <row r="23" spans="1:17" ht="47.1" customHeight="1">
      <c r="A23" s="1044" t="s">
        <v>813</v>
      </c>
      <c r="B23" s="1044"/>
      <c r="C23" s="1044"/>
      <c r="D23" s="1044"/>
      <c r="E23" s="1044"/>
      <c r="F23" s="1044"/>
      <c r="G23" s="1044"/>
    </row>
    <row r="24" spans="1:17">
      <c r="A24" s="97"/>
      <c r="B24" s="97"/>
      <c r="C24" s="98"/>
      <c r="D24" s="98"/>
      <c r="E24" s="98"/>
      <c r="F24" s="98"/>
      <c r="G24" s="98"/>
    </row>
    <row r="25" spans="1:17" ht="35.1" customHeight="1">
      <c r="A25" s="1036" t="s">
        <v>418</v>
      </c>
      <c r="B25" s="1046"/>
      <c r="C25" s="1046"/>
      <c r="D25" s="1046"/>
      <c r="E25" s="477"/>
      <c r="F25" s="477"/>
      <c r="G25" s="477"/>
      <c r="H25" s="767"/>
    </row>
    <row r="26" spans="1:17" s="71" customFormat="1">
      <c r="A26" s="381" t="s">
        <v>143</v>
      </c>
      <c r="B26" s="198" t="s">
        <v>66</v>
      </c>
      <c r="C26" s="199">
        <v>2020</v>
      </c>
      <c r="D26" s="199">
        <v>2021</v>
      </c>
      <c r="E26" s="199">
        <v>2022</v>
      </c>
      <c r="F26" s="199">
        <v>2023</v>
      </c>
      <c r="G26" s="199">
        <v>2024</v>
      </c>
      <c r="M26"/>
      <c r="N26"/>
      <c r="O26"/>
      <c r="P26"/>
      <c r="Q26"/>
    </row>
    <row r="27" spans="1:17" s="71" customFormat="1" ht="25.5">
      <c r="A27" s="248" t="s">
        <v>419</v>
      </c>
      <c r="B27" s="195" t="s">
        <v>420</v>
      </c>
      <c r="C27" s="876">
        <v>2368.4</v>
      </c>
      <c r="D27" s="876">
        <v>2142.79</v>
      </c>
      <c r="E27" s="876">
        <v>2117.3289999999997</v>
      </c>
      <c r="F27" s="876">
        <v>2110.9989999999998</v>
      </c>
      <c r="G27" s="876">
        <v>2187.0666999999999</v>
      </c>
      <c r="H27" s="584" t="s">
        <v>408</v>
      </c>
      <c r="I27" s="582" t="s">
        <v>409</v>
      </c>
      <c r="J27" s="464" t="s">
        <v>421</v>
      </c>
      <c r="M27"/>
      <c r="N27"/>
      <c r="O27"/>
      <c r="P27"/>
      <c r="Q27"/>
    </row>
    <row r="28" spans="1:17" s="71" customFormat="1">
      <c r="A28" s="248" t="s">
        <v>379</v>
      </c>
      <c r="B28" s="195"/>
      <c r="C28" s="876"/>
      <c r="D28" s="875"/>
      <c r="E28" s="875"/>
      <c r="F28" s="875"/>
      <c r="G28" s="877"/>
      <c r="H28" s="584"/>
      <c r="I28" s="582"/>
      <c r="J28" s="310"/>
      <c r="M28"/>
      <c r="N28"/>
      <c r="O28"/>
      <c r="P28"/>
      <c r="Q28"/>
    </row>
    <row r="29" spans="1:17" s="71" customFormat="1" ht="25.5">
      <c r="A29" s="99" t="s">
        <v>70</v>
      </c>
      <c r="B29" s="195" t="s">
        <v>420</v>
      </c>
      <c r="C29" s="876"/>
      <c r="D29" s="878">
        <v>1718.078</v>
      </c>
      <c r="E29" s="878">
        <v>1716.13</v>
      </c>
      <c r="F29" s="878">
        <v>1771.1100000000001</v>
      </c>
      <c r="G29" s="879">
        <v>1776</v>
      </c>
      <c r="H29" s="584" t="s">
        <v>408</v>
      </c>
      <c r="I29" s="582" t="s">
        <v>422</v>
      </c>
      <c r="J29" s="464" t="s">
        <v>27</v>
      </c>
      <c r="M29"/>
      <c r="N29"/>
      <c r="O29"/>
      <c r="P29"/>
      <c r="Q29"/>
    </row>
    <row r="30" spans="1:17" s="71" customFormat="1" ht="25.5">
      <c r="A30" s="215" t="s">
        <v>423</v>
      </c>
      <c r="B30" s="214" t="s">
        <v>420</v>
      </c>
      <c r="C30" s="876"/>
      <c r="D30" s="870">
        <v>267.2</v>
      </c>
      <c r="E30" s="870">
        <v>311.13</v>
      </c>
      <c r="F30" s="870">
        <v>377.11</v>
      </c>
      <c r="G30" s="871">
        <v>397</v>
      </c>
      <c r="H30" s="584" t="s">
        <v>408</v>
      </c>
      <c r="I30" s="582" t="s">
        <v>409</v>
      </c>
      <c r="J30" s="464" t="s">
        <v>27</v>
      </c>
      <c r="M30"/>
      <c r="N30"/>
      <c r="O30"/>
      <c r="P30"/>
      <c r="Q30"/>
    </row>
    <row r="31" spans="1:17" s="71" customFormat="1" ht="25.5">
      <c r="A31" s="215" t="s">
        <v>424</v>
      </c>
      <c r="B31" s="214" t="s">
        <v>420</v>
      </c>
      <c r="C31" s="876"/>
      <c r="D31" s="870">
        <v>1450.8779999999999</v>
      </c>
      <c r="E31" s="870">
        <v>1405</v>
      </c>
      <c r="F31" s="870">
        <v>1394</v>
      </c>
      <c r="G31" s="871">
        <v>1379</v>
      </c>
      <c r="H31" s="584" t="s">
        <v>408</v>
      </c>
      <c r="I31" s="582" t="s">
        <v>409</v>
      </c>
      <c r="J31" s="464" t="s">
        <v>27</v>
      </c>
      <c r="M31"/>
      <c r="N31"/>
      <c r="O31"/>
      <c r="P31"/>
      <c r="Q31"/>
    </row>
    <row r="32" spans="1:17" s="71" customFormat="1" ht="39" customHeight="1">
      <c r="A32" s="215" t="s">
        <v>75</v>
      </c>
      <c r="B32" s="214" t="s">
        <v>420</v>
      </c>
      <c r="C32" s="876"/>
      <c r="D32" s="876">
        <v>337</v>
      </c>
      <c r="E32" s="876">
        <v>318.10000000000002</v>
      </c>
      <c r="F32" s="876">
        <v>255</v>
      </c>
      <c r="G32" s="876">
        <v>294.43799999999999</v>
      </c>
      <c r="H32" s="584" t="s">
        <v>408</v>
      </c>
      <c r="I32" s="464" t="s">
        <v>422</v>
      </c>
      <c r="J32" s="464" t="s">
        <v>27</v>
      </c>
      <c r="M32"/>
      <c r="N32"/>
      <c r="O32"/>
      <c r="P32"/>
      <c r="Q32"/>
    </row>
    <row r="33" spans="1:17" s="71" customFormat="1" ht="37.35" customHeight="1">
      <c r="A33" s="215" t="s">
        <v>423</v>
      </c>
      <c r="B33" s="214" t="s">
        <v>420</v>
      </c>
      <c r="C33" s="876"/>
      <c r="D33" s="870">
        <v>144</v>
      </c>
      <c r="E33" s="870">
        <v>147</v>
      </c>
      <c r="F33" s="870">
        <v>140</v>
      </c>
      <c r="G33" s="871">
        <v>147.43799999999999</v>
      </c>
      <c r="H33" s="584" t="s">
        <v>425</v>
      </c>
      <c r="I33" s="464" t="s">
        <v>409</v>
      </c>
      <c r="J33" s="464" t="s">
        <v>27</v>
      </c>
      <c r="M33"/>
      <c r="N33"/>
      <c r="O33"/>
      <c r="P33"/>
      <c r="Q33"/>
    </row>
    <row r="34" spans="1:17" s="71" customFormat="1" ht="25.5">
      <c r="A34" s="215" t="s">
        <v>426</v>
      </c>
      <c r="B34" s="214" t="s">
        <v>420</v>
      </c>
      <c r="C34" s="876"/>
      <c r="D34" s="870">
        <v>193</v>
      </c>
      <c r="E34" s="870">
        <v>171.1</v>
      </c>
      <c r="F34" s="870">
        <v>115</v>
      </c>
      <c r="G34" s="871">
        <v>147</v>
      </c>
      <c r="H34" s="584" t="s">
        <v>408</v>
      </c>
      <c r="I34" s="464" t="s">
        <v>409</v>
      </c>
      <c r="J34" s="464" t="s">
        <v>27</v>
      </c>
      <c r="M34"/>
      <c r="N34"/>
      <c r="O34"/>
      <c r="P34"/>
      <c r="Q34"/>
    </row>
    <row r="35" spans="1:17" s="71" customFormat="1" ht="25.5">
      <c r="A35" s="215" t="s">
        <v>77</v>
      </c>
      <c r="B35" s="214" t="s">
        <v>420</v>
      </c>
      <c r="C35" s="876"/>
      <c r="D35" s="878">
        <v>28.551000000000002</v>
      </c>
      <c r="E35" s="878">
        <v>26.34</v>
      </c>
      <c r="F35" s="878">
        <v>26.387</v>
      </c>
      <c r="G35" s="878">
        <v>31.4238</v>
      </c>
      <c r="H35" s="584" t="s">
        <v>408</v>
      </c>
      <c r="I35" s="464" t="s">
        <v>422</v>
      </c>
      <c r="J35" s="464" t="s">
        <v>27</v>
      </c>
      <c r="M35"/>
      <c r="N35"/>
      <c r="O35"/>
      <c r="P35"/>
      <c r="Q35"/>
    </row>
    <row r="36" spans="1:17" s="71" customFormat="1" ht="25.5">
      <c r="A36" s="215" t="s">
        <v>423</v>
      </c>
      <c r="B36" s="214" t="s">
        <v>420</v>
      </c>
      <c r="C36" s="876"/>
      <c r="D36" s="870">
        <v>2.5510000000000002</v>
      </c>
      <c r="E36" s="870">
        <v>2.39</v>
      </c>
      <c r="F36" s="870">
        <v>3.387</v>
      </c>
      <c r="G36" s="870">
        <v>2.6922000000000001</v>
      </c>
      <c r="H36" s="584" t="s">
        <v>408</v>
      </c>
      <c r="I36" s="464" t="s">
        <v>409</v>
      </c>
      <c r="J36" s="464" t="s">
        <v>27</v>
      </c>
      <c r="M36"/>
      <c r="N36"/>
      <c r="O36"/>
      <c r="P36"/>
      <c r="Q36"/>
    </row>
    <row r="37" spans="1:17" s="71" customFormat="1" ht="25.5">
      <c r="A37" s="215" t="s">
        <v>426</v>
      </c>
      <c r="B37" s="214" t="s">
        <v>420</v>
      </c>
      <c r="C37" s="876"/>
      <c r="D37" s="870">
        <v>26</v>
      </c>
      <c r="E37" s="870">
        <v>23.95</v>
      </c>
      <c r="F37" s="870">
        <v>23</v>
      </c>
      <c r="G37" s="870">
        <v>28.7316</v>
      </c>
      <c r="H37" s="584" t="s">
        <v>408</v>
      </c>
      <c r="I37" s="464" t="s">
        <v>409</v>
      </c>
      <c r="J37" s="464" t="s">
        <v>27</v>
      </c>
      <c r="M37"/>
      <c r="N37"/>
      <c r="O37"/>
      <c r="P37"/>
      <c r="Q37"/>
    </row>
    <row r="38" spans="1:17" s="71" customFormat="1" ht="25.5">
      <c r="A38" s="215" t="s">
        <v>427</v>
      </c>
      <c r="B38" s="195" t="s">
        <v>420</v>
      </c>
      <c r="C38" s="876"/>
      <c r="D38" s="878">
        <v>59</v>
      </c>
      <c r="E38" s="878">
        <v>57.19</v>
      </c>
      <c r="F38" s="878">
        <v>59</v>
      </c>
      <c r="G38" s="879">
        <v>85</v>
      </c>
      <c r="H38" s="584" t="s">
        <v>408</v>
      </c>
      <c r="I38" s="464" t="s">
        <v>422</v>
      </c>
      <c r="J38" s="464" t="s">
        <v>27</v>
      </c>
      <c r="M38"/>
      <c r="N38"/>
      <c r="O38"/>
      <c r="P38"/>
      <c r="Q38"/>
    </row>
    <row r="39" spans="1:17" s="71" customFormat="1">
      <c r="A39" s="304" t="s">
        <v>280</v>
      </c>
      <c r="B39" s="214"/>
      <c r="C39" s="876"/>
      <c r="D39" s="871"/>
      <c r="E39" s="871"/>
      <c r="F39" s="871"/>
      <c r="G39" s="871"/>
      <c r="H39" s="310"/>
      <c r="J39" s="438"/>
      <c r="M39"/>
      <c r="N39"/>
      <c r="O39"/>
      <c r="P39"/>
      <c r="Q39"/>
    </row>
    <row r="40" spans="1:17" s="71" customFormat="1" ht="25.5">
      <c r="A40" s="215" t="s">
        <v>102</v>
      </c>
      <c r="B40" s="214" t="s">
        <v>420</v>
      </c>
      <c r="C40" s="869">
        <v>2150.3000000000002</v>
      </c>
      <c r="D40" s="869">
        <v>2045.9</v>
      </c>
      <c r="E40" s="869">
        <v>2019.3319999999999</v>
      </c>
      <c r="F40" s="869">
        <v>2040.9989999999998</v>
      </c>
      <c r="G40" s="869">
        <v>2121.143</v>
      </c>
      <c r="H40" s="584" t="s">
        <v>408</v>
      </c>
      <c r="I40" s="464" t="s">
        <v>409</v>
      </c>
      <c r="J40" s="310"/>
      <c r="M40"/>
      <c r="N40"/>
      <c r="O40"/>
      <c r="P40"/>
      <c r="Q40"/>
    </row>
    <row r="41" spans="1:17" s="71" customFormat="1" ht="25.5">
      <c r="A41" s="215" t="s">
        <v>423</v>
      </c>
      <c r="B41" s="214" t="s">
        <v>420</v>
      </c>
      <c r="C41" s="344">
        <v>304</v>
      </c>
      <c r="D41" s="875">
        <v>362</v>
      </c>
      <c r="E41" s="875">
        <v>417.06200000000001</v>
      </c>
      <c r="F41" s="875">
        <v>493.803</v>
      </c>
      <c r="G41" s="875">
        <v>535.14300000000003</v>
      </c>
      <c r="H41" s="584" t="s">
        <v>408</v>
      </c>
      <c r="I41" s="464" t="s">
        <v>409</v>
      </c>
      <c r="J41" s="582" t="s">
        <v>428</v>
      </c>
      <c r="L41" s="558"/>
      <c r="M41"/>
      <c r="N41"/>
      <c r="O41"/>
      <c r="P41"/>
      <c r="Q41"/>
    </row>
    <row r="42" spans="1:17" s="71" customFormat="1" ht="25.5">
      <c r="A42" s="215" t="s">
        <v>426</v>
      </c>
      <c r="B42" s="214" t="s">
        <v>420</v>
      </c>
      <c r="C42" s="344">
        <v>1846.3</v>
      </c>
      <c r="D42" s="875">
        <v>1683.9</v>
      </c>
      <c r="E42" s="875">
        <v>1602.27</v>
      </c>
      <c r="F42" s="875">
        <v>1547.1959999999999</v>
      </c>
      <c r="G42" s="880">
        <v>1586</v>
      </c>
      <c r="H42" s="584" t="s">
        <v>408</v>
      </c>
      <c r="I42" s="464" t="s">
        <v>409</v>
      </c>
      <c r="J42" s="310"/>
      <c r="M42"/>
      <c r="N42"/>
      <c r="O42"/>
      <c r="P42"/>
      <c r="Q42"/>
    </row>
    <row r="43" spans="1:17" s="71" customFormat="1" ht="25.5">
      <c r="A43" s="215" t="s">
        <v>103</v>
      </c>
      <c r="B43" s="214" t="s">
        <v>420</v>
      </c>
      <c r="C43" s="869">
        <v>218.1</v>
      </c>
      <c r="D43" s="869">
        <v>96.89</v>
      </c>
      <c r="E43" s="869">
        <v>97.997</v>
      </c>
      <c r="F43" s="869">
        <v>70</v>
      </c>
      <c r="G43" s="869">
        <v>65.923699999999997</v>
      </c>
      <c r="H43" s="584" t="s">
        <v>408</v>
      </c>
      <c r="I43" s="464" t="s">
        <v>409</v>
      </c>
      <c r="J43" s="310"/>
      <c r="M43"/>
      <c r="N43"/>
      <c r="O43"/>
      <c r="P43"/>
      <c r="Q43"/>
    </row>
    <row r="44" spans="1:17" s="71" customFormat="1" ht="25.5">
      <c r="A44" s="215" t="s">
        <v>423</v>
      </c>
      <c r="B44" s="214" t="s">
        <v>420</v>
      </c>
      <c r="C44" s="870">
        <v>143.1</v>
      </c>
      <c r="D44" s="870">
        <v>50.89</v>
      </c>
      <c r="E44" s="870">
        <v>44</v>
      </c>
      <c r="F44" s="870">
        <v>27</v>
      </c>
      <c r="G44" s="870">
        <v>27.6938</v>
      </c>
      <c r="H44" s="584" t="s">
        <v>408</v>
      </c>
      <c r="I44" s="464" t="s">
        <v>409</v>
      </c>
      <c r="J44" s="582" t="s">
        <v>428</v>
      </c>
      <c r="M44"/>
      <c r="N44"/>
      <c r="O44"/>
      <c r="P44"/>
      <c r="Q44"/>
    </row>
    <row r="45" spans="1:17" s="71" customFormat="1" ht="28.5" customHeight="1">
      <c r="A45" s="215" t="s">
        <v>429</v>
      </c>
      <c r="B45" s="214" t="s">
        <v>420</v>
      </c>
      <c r="C45" s="870">
        <v>75</v>
      </c>
      <c r="D45" s="870">
        <v>46</v>
      </c>
      <c r="E45" s="870">
        <v>53.997</v>
      </c>
      <c r="F45" s="870">
        <v>43</v>
      </c>
      <c r="G45" s="870">
        <v>38.229900000000001</v>
      </c>
      <c r="H45" s="584" t="s">
        <v>408</v>
      </c>
      <c r="I45" s="464" t="s">
        <v>409</v>
      </c>
      <c r="J45" s="438"/>
      <c r="M45"/>
      <c r="N45"/>
      <c r="O45"/>
      <c r="P45"/>
      <c r="Q45"/>
    </row>
    <row r="46" spans="1:17" s="71" customFormat="1">
      <c r="A46" s="251" t="s">
        <v>68</v>
      </c>
      <c r="B46" s="84"/>
      <c r="C46" s="253"/>
      <c r="D46" s="110"/>
      <c r="E46" s="110"/>
      <c r="F46" s="110"/>
      <c r="G46" s="110"/>
      <c r="H46" s="108"/>
      <c r="M46"/>
      <c r="N46"/>
      <c r="O46"/>
      <c r="P46"/>
      <c r="Q46"/>
    </row>
    <row r="47" spans="1:17" ht="82.35" customHeight="1">
      <c r="A47" s="1042" t="s">
        <v>806</v>
      </c>
      <c r="B47" s="1042"/>
      <c r="C47" s="1042"/>
      <c r="D47" s="1042"/>
      <c r="E47" s="1042"/>
      <c r="F47" s="1042"/>
      <c r="G47" s="1042"/>
    </row>
    <row r="48" spans="1:17" ht="55.35" customHeight="1">
      <c r="A48" s="1043" t="s">
        <v>814</v>
      </c>
      <c r="B48" s="1044"/>
      <c r="C48" s="1044"/>
      <c r="D48" s="1044"/>
      <c r="E48" s="1044"/>
      <c r="F48" s="1044"/>
      <c r="G48" s="1044"/>
    </row>
    <row r="49" spans="1:17" ht="16.350000000000001" customHeight="1">
      <c r="A49" s="765"/>
      <c r="B49" s="765"/>
      <c r="C49" s="765"/>
      <c r="D49" s="765"/>
      <c r="E49" s="765"/>
      <c r="F49" s="765"/>
      <c r="G49" s="765"/>
    </row>
    <row r="50" spans="1:17" ht="35.1" customHeight="1">
      <c r="A50" s="1036" t="s">
        <v>430</v>
      </c>
      <c r="B50" s="1046"/>
      <c r="C50" s="1046"/>
      <c r="D50" s="1046"/>
      <c r="E50" s="768"/>
      <c r="F50" s="768"/>
      <c r="G50" s="768"/>
    </row>
    <row r="51" spans="1:17" ht="16.350000000000001" customHeight="1">
      <c r="A51" s="381" t="s">
        <v>143</v>
      </c>
      <c r="B51" s="198" t="s">
        <v>66</v>
      </c>
      <c r="C51" s="199">
        <v>2020</v>
      </c>
      <c r="D51" s="199">
        <v>2021</v>
      </c>
      <c r="E51" s="199">
        <v>2022</v>
      </c>
      <c r="F51" s="199">
        <v>2023</v>
      </c>
      <c r="G51" s="199">
        <v>2024</v>
      </c>
    </row>
    <row r="52" spans="1:17" ht="16.350000000000001" customHeight="1">
      <c r="A52" s="248" t="s">
        <v>431</v>
      </c>
      <c r="B52" s="195" t="s">
        <v>406</v>
      </c>
      <c r="C52" s="423"/>
      <c r="D52" s="423"/>
      <c r="E52" s="881">
        <v>1996.9</v>
      </c>
      <c r="F52" s="881">
        <v>2126.8980000000001</v>
      </c>
      <c r="G52" s="882">
        <v>2111.105</v>
      </c>
      <c r="H52" s="107"/>
      <c r="J52" s="462"/>
    </row>
    <row r="53" spans="1:17" s="71" customFormat="1" ht="17.100000000000001" customHeight="1">
      <c r="A53" s="248" t="s">
        <v>432</v>
      </c>
      <c r="B53" s="195" t="s">
        <v>406</v>
      </c>
      <c r="C53" s="871"/>
      <c r="D53" s="870"/>
      <c r="E53" s="883">
        <v>1642</v>
      </c>
      <c r="F53" s="883">
        <v>1738</v>
      </c>
      <c r="G53" s="884">
        <v>1712</v>
      </c>
      <c r="H53" s="478" t="s">
        <v>433</v>
      </c>
      <c r="M53"/>
      <c r="N53"/>
      <c r="O53"/>
      <c r="P53"/>
      <c r="Q53"/>
    </row>
    <row r="54" spans="1:17" s="71" customFormat="1" ht="25.5">
      <c r="A54" s="99" t="s">
        <v>434</v>
      </c>
      <c r="B54" s="195" t="s">
        <v>406</v>
      </c>
      <c r="C54" s="870"/>
      <c r="D54" s="870"/>
      <c r="E54" s="870">
        <v>1163</v>
      </c>
      <c r="F54" s="870">
        <v>1222</v>
      </c>
      <c r="G54" s="874">
        <v>1168</v>
      </c>
      <c r="H54" s="478" t="s">
        <v>433</v>
      </c>
      <c r="M54"/>
      <c r="N54"/>
      <c r="O54"/>
      <c r="P54"/>
      <c r="Q54"/>
    </row>
    <row r="55" spans="1:17" s="71" customFormat="1" ht="29.25" customHeight="1">
      <c r="A55" s="99" t="s">
        <v>435</v>
      </c>
      <c r="B55" s="195" t="s">
        <v>406</v>
      </c>
      <c r="C55" s="870"/>
      <c r="D55" s="870"/>
      <c r="E55" s="870">
        <v>479</v>
      </c>
      <c r="F55" s="870">
        <v>516</v>
      </c>
      <c r="G55" s="874">
        <v>544</v>
      </c>
      <c r="H55" s="478" t="s">
        <v>433</v>
      </c>
      <c r="I55" s="588"/>
      <c r="J55" s="737"/>
      <c r="M55"/>
      <c r="N55"/>
      <c r="O55"/>
      <c r="P55"/>
      <c r="Q55"/>
    </row>
    <row r="56" spans="1:17" s="71" customFormat="1" ht="25.5">
      <c r="A56" s="248" t="s">
        <v>436</v>
      </c>
      <c r="B56" s="195" t="s">
        <v>406</v>
      </c>
      <c r="C56" s="870"/>
      <c r="D56" s="870"/>
      <c r="E56" s="878">
        <v>354.9</v>
      </c>
      <c r="F56" s="878">
        <v>388.89800000000002</v>
      </c>
      <c r="G56" s="884">
        <v>399.10500000000002</v>
      </c>
      <c r="H56" s="478" t="s">
        <v>437</v>
      </c>
      <c r="I56" s="736"/>
      <c r="J56" s="558"/>
      <c r="M56"/>
      <c r="N56"/>
      <c r="O56"/>
      <c r="P56"/>
      <c r="Q56"/>
    </row>
    <row r="57" spans="1:17" s="71" customFormat="1">
      <c r="A57" s="60" t="s">
        <v>438</v>
      </c>
      <c r="B57" s="195"/>
      <c r="C57" s="870"/>
      <c r="D57" s="870"/>
      <c r="E57" s="878"/>
      <c r="F57" s="878"/>
      <c r="G57" s="884"/>
      <c r="H57" s="478"/>
      <c r="I57" s="736"/>
      <c r="J57" s="558"/>
      <c r="M57"/>
      <c r="N57"/>
      <c r="O57"/>
      <c r="P57"/>
      <c r="Q57"/>
    </row>
    <row r="58" spans="1:17" s="71" customFormat="1" ht="16.350000000000001" customHeight="1">
      <c r="A58" s="99" t="s">
        <v>439</v>
      </c>
      <c r="B58" s="195" t="s">
        <v>406</v>
      </c>
      <c r="C58" s="870"/>
      <c r="D58" s="870"/>
      <c r="E58" s="870">
        <v>38.9</v>
      </c>
      <c r="F58" s="870">
        <v>38.9</v>
      </c>
      <c r="G58" s="874">
        <v>47.45</v>
      </c>
      <c r="H58" s="478" t="s">
        <v>437</v>
      </c>
      <c r="I58" s="604"/>
      <c r="J58" s="558"/>
      <c r="M58"/>
      <c r="N58"/>
      <c r="O58"/>
      <c r="P58"/>
      <c r="Q58"/>
    </row>
    <row r="59" spans="1:17" s="71" customFormat="1" ht="15" customHeight="1">
      <c r="A59" s="99" t="s">
        <v>440</v>
      </c>
      <c r="B59" s="195" t="s">
        <v>406</v>
      </c>
      <c r="C59" s="873">
        <v>4</v>
      </c>
      <c r="D59" s="873">
        <v>3.6</v>
      </c>
      <c r="E59" s="329">
        <v>14</v>
      </c>
      <c r="F59" s="329">
        <v>6.9</v>
      </c>
      <c r="G59" s="259">
        <v>13.654999999999999</v>
      </c>
      <c r="H59" s="478" t="s">
        <v>437</v>
      </c>
      <c r="I59" s="604"/>
      <c r="M59"/>
      <c r="N59"/>
      <c r="O59"/>
      <c r="P59"/>
      <c r="Q59"/>
    </row>
    <row r="60" spans="1:17" s="71" customFormat="1" ht="51" customHeight="1">
      <c r="A60" s="99" t="s">
        <v>441</v>
      </c>
      <c r="B60" s="195" t="s">
        <v>90</v>
      </c>
      <c r="C60" s="870"/>
      <c r="D60" s="870"/>
      <c r="E60" s="332">
        <f>E59/E13*100</f>
        <v>0.70120256239450651</v>
      </c>
      <c r="F60" s="702">
        <f>F59/F13*100</f>
        <v>0.32441612150653204</v>
      </c>
      <c r="G60" s="702">
        <f>G59/G13*100</f>
        <v>0.64689671965803297</v>
      </c>
      <c r="H60" s="310"/>
      <c r="I60" s="310"/>
      <c r="J60" s="110"/>
      <c r="M60"/>
      <c r="N60"/>
      <c r="O60"/>
      <c r="P60"/>
      <c r="Q60"/>
    </row>
    <row r="61" spans="1:17" s="71" customFormat="1" ht="33" customHeight="1">
      <c r="A61" s="60" t="s">
        <v>442</v>
      </c>
      <c r="B61" s="195"/>
      <c r="C61" s="870"/>
      <c r="D61" s="870"/>
      <c r="E61" s="329"/>
      <c r="F61" s="329"/>
      <c r="G61" s="265"/>
      <c r="H61" s="478"/>
      <c r="I61" s="604"/>
      <c r="M61"/>
      <c r="N61"/>
      <c r="O61"/>
      <c r="P61"/>
      <c r="Q61"/>
    </row>
    <row r="62" spans="1:17" s="71" customFormat="1" ht="16.350000000000001" customHeight="1">
      <c r="A62" s="99" t="s">
        <v>443</v>
      </c>
      <c r="B62" s="195" t="s">
        <v>406</v>
      </c>
      <c r="C62" s="870"/>
      <c r="D62" s="870"/>
      <c r="E62" s="329">
        <v>6</v>
      </c>
      <c r="F62" s="329">
        <v>22.6</v>
      </c>
      <c r="G62" s="265">
        <v>17</v>
      </c>
      <c r="H62" s="478" t="s">
        <v>437</v>
      </c>
      <c r="I62" s="438"/>
      <c r="M62"/>
      <c r="N62"/>
      <c r="O62"/>
      <c r="P62"/>
      <c r="Q62"/>
    </row>
    <row r="63" spans="1:17" s="71" customFormat="1" ht="30" customHeight="1">
      <c r="A63" s="99" t="s">
        <v>444</v>
      </c>
      <c r="B63" s="195" t="s">
        <v>406</v>
      </c>
      <c r="C63" s="870"/>
      <c r="D63" s="870"/>
      <c r="E63" s="329">
        <v>125</v>
      </c>
      <c r="F63" s="329">
        <v>119</v>
      </c>
      <c r="G63" s="265">
        <v>122</v>
      </c>
      <c r="H63" s="478" t="s">
        <v>437</v>
      </c>
      <c r="I63" s="438"/>
      <c r="J63" s="558"/>
      <c r="M63"/>
      <c r="N63"/>
      <c r="O63"/>
      <c r="P63"/>
      <c r="Q63"/>
    </row>
    <row r="64" spans="1:17" s="71" customFormat="1" ht="16.350000000000001" customHeight="1">
      <c r="A64" s="99" t="s">
        <v>445</v>
      </c>
      <c r="B64" s="195" t="s">
        <v>406</v>
      </c>
      <c r="C64" s="329"/>
      <c r="D64" s="329"/>
      <c r="E64" s="329">
        <v>171</v>
      </c>
      <c r="F64" s="329">
        <v>201.49799999999999</v>
      </c>
      <c r="G64" s="265">
        <v>199</v>
      </c>
      <c r="H64" s="478" t="s">
        <v>437</v>
      </c>
      <c r="I64" s="438"/>
      <c r="M64"/>
      <c r="N64"/>
      <c r="O64"/>
      <c r="P64"/>
      <c r="Q64"/>
    </row>
    <row r="66" spans="1:12" ht="35.1" customHeight="1">
      <c r="A66" s="192" t="s">
        <v>446</v>
      </c>
      <c r="B66" s="77"/>
      <c r="C66" s="77"/>
      <c r="D66" s="77"/>
      <c r="E66" s="77"/>
      <c r="F66" s="77"/>
      <c r="G66" s="77"/>
      <c r="H66" s="419"/>
      <c r="J66" s="4"/>
    </row>
    <row r="67" spans="1:12" ht="16.350000000000001" customHeight="1">
      <c r="A67" s="381" t="s">
        <v>143</v>
      </c>
      <c r="B67" s="198" t="s">
        <v>66</v>
      </c>
      <c r="C67" s="199">
        <v>2020</v>
      </c>
      <c r="D67" s="199">
        <v>2021</v>
      </c>
      <c r="E67" s="199">
        <v>2022</v>
      </c>
      <c r="F67" s="199">
        <v>2023</v>
      </c>
      <c r="G67" s="199">
        <v>2024</v>
      </c>
    </row>
    <row r="68" spans="1:12" ht="16.350000000000001" customHeight="1">
      <c r="A68" s="248" t="s">
        <v>447</v>
      </c>
      <c r="B68" s="195"/>
      <c r="C68" s="200"/>
      <c r="D68" s="200"/>
      <c r="E68" s="200"/>
      <c r="F68" s="200"/>
      <c r="G68" s="200"/>
      <c r="H68" s="465"/>
    </row>
    <row r="69" spans="1:12" ht="16.350000000000001" customHeight="1">
      <c r="A69" s="99" t="s">
        <v>163</v>
      </c>
      <c r="B69" s="195" t="s">
        <v>406</v>
      </c>
      <c r="C69" s="886">
        <v>52</v>
      </c>
      <c r="D69" s="862">
        <v>25.3</v>
      </c>
      <c r="E69" s="862">
        <v>35.799999999999997</v>
      </c>
      <c r="F69" s="861">
        <v>88.8</v>
      </c>
      <c r="G69" s="861">
        <v>27</v>
      </c>
      <c r="H69" s="465" t="s">
        <v>448</v>
      </c>
      <c r="I69" s="464" t="s">
        <v>449</v>
      </c>
      <c r="J69" s="545"/>
      <c r="K69" s="4"/>
      <c r="L69" s="4"/>
    </row>
    <row r="70" spans="1:12" ht="23.25" customHeight="1">
      <c r="A70" s="99" t="s">
        <v>177</v>
      </c>
      <c r="B70" s="195" t="s">
        <v>406</v>
      </c>
      <c r="C70" s="867">
        <v>39</v>
      </c>
      <c r="D70" s="841">
        <v>3.1</v>
      </c>
      <c r="E70" s="841">
        <v>12.2</v>
      </c>
      <c r="F70" s="842">
        <v>19.5</v>
      </c>
      <c r="G70" s="842">
        <v>27.329000000000001</v>
      </c>
      <c r="H70" s="465" t="s">
        <v>448</v>
      </c>
      <c r="I70" s="464" t="s">
        <v>449</v>
      </c>
      <c r="J70" s="110"/>
    </row>
    <row r="71" spans="1:12" ht="26.25" customHeight="1">
      <c r="A71" s="99" t="s">
        <v>178</v>
      </c>
      <c r="B71" s="195" t="s">
        <v>406</v>
      </c>
      <c r="C71" s="867">
        <v>13</v>
      </c>
      <c r="D71" s="841">
        <v>22.2</v>
      </c>
      <c r="E71" s="841">
        <v>23.6</v>
      </c>
      <c r="F71" s="841">
        <v>69.3</v>
      </c>
      <c r="G71" s="841">
        <v>0</v>
      </c>
      <c r="H71" s="465" t="s">
        <v>448</v>
      </c>
      <c r="I71" s="464" t="s">
        <v>449</v>
      </c>
      <c r="J71" s="110"/>
    </row>
    <row r="72" spans="1:12" ht="16.350000000000001" customHeight="1">
      <c r="A72" s="248" t="s">
        <v>417</v>
      </c>
      <c r="B72" s="195"/>
      <c r="C72" s="887"/>
      <c r="D72" s="888"/>
      <c r="E72" s="888"/>
      <c r="F72" s="888"/>
      <c r="G72" s="888"/>
      <c r="H72" s="465"/>
      <c r="I72" s="464"/>
      <c r="J72" s="110"/>
    </row>
    <row r="73" spans="1:12" ht="21" customHeight="1">
      <c r="A73" s="99" t="s">
        <v>163</v>
      </c>
      <c r="B73" s="195" t="s">
        <v>406</v>
      </c>
      <c r="C73" s="886">
        <v>549</v>
      </c>
      <c r="D73" s="862">
        <v>522.79999999999995</v>
      </c>
      <c r="E73" s="862">
        <v>487.3</v>
      </c>
      <c r="F73" s="862">
        <v>594.5</v>
      </c>
      <c r="G73" s="862">
        <v>567.17499999999995</v>
      </c>
      <c r="H73" s="465" t="s">
        <v>448</v>
      </c>
      <c r="I73" s="464" t="s">
        <v>449</v>
      </c>
      <c r="J73" s="110"/>
    </row>
    <row r="74" spans="1:12" ht="22.5" customHeight="1">
      <c r="A74" s="99" t="s">
        <v>177</v>
      </c>
      <c r="B74" s="195" t="s">
        <v>406</v>
      </c>
      <c r="C74" s="867">
        <v>184</v>
      </c>
      <c r="D74" s="843">
        <v>180</v>
      </c>
      <c r="E74" s="843">
        <v>168</v>
      </c>
      <c r="F74" s="843">
        <v>344.5</v>
      </c>
      <c r="G74" s="843">
        <v>317.17500000000001</v>
      </c>
      <c r="H74" s="465" t="s">
        <v>448</v>
      </c>
      <c r="I74" s="464" t="s">
        <v>449</v>
      </c>
      <c r="J74" s="110"/>
    </row>
    <row r="75" spans="1:12" ht="16.350000000000001" customHeight="1">
      <c r="A75" s="99" t="s">
        <v>178</v>
      </c>
      <c r="B75" s="195" t="s">
        <v>406</v>
      </c>
      <c r="C75" s="867">
        <v>365</v>
      </c>
      <c r="D75" s="843">
        <v>342.8</v>
      </c>
      <c r="E75" s="843">
        <v>319.3</v>
      </c>
      <c r="F75" s="843">
        <v>250</v>
      </c>
      <c r="G75" s="843">
        <v>250</v>
      </c>
      <c r="H75" s="465" t="s">
        <v>448</v>
      </c>
      <c r="I75" s="464" t="s">
        <v>449</v>
      </c>
      <c r="J75" s="110"/>
    </row>
    <row r="76" spans="1:12" ht="16.350000000000001" customHeight="1">
      <c r="A76" s="251" t="s">
        <v>450</v>
      </c>
      <c r="B76" s="84"/>
      <c r="C76" s="252"/>
      <c r="D76" s="476"/>
      <c r="E76" s="476"/>
      <c r="F76" s="476"/>
      <c r="G76" s="476"/>
      <c r="H76" s="465"/>
      <c r="I76" s="464"/>
      <c r="J76" s="110"/>
    </row>
    <row r="77" spans="1:12" ht="39" customHeight="1">
      <c r="A77" s="1043" t="s">
        <v>451</v>
      </c>
      <c r="B77" s="1044"/>
      <c r="C77" s="1044"/>
      <c r="D77" s="1044"/>
      <c r="E77" s="1044"/>
      <c r="F77" s="1044"/>
      <c r="G77" s="1044"/>
      <c r="H77" s="465"/>
      <c r="I77" s="464"/>
      <c r="J77" s="110"/>
    </row>
    <row r="78" spans="1:12" ht="15.75" customHeight="1">
      <c r="A78" s="130"/>
      <c r="B78" s="84"/>
      <c r="C78" s="252"/>
      <c r="D78" s="476"/>
      <c r="E78" s="476"/>
      <c r="F78" s="476"/>
      <c r="G78" s="476"/>
      <c r="H78" s="465"/>
      <c r="I78" s="464"/>
    </row>
    <row r="79" spans="1:12" ht="35.1" customHeight="1">
      <c r="A79" s="95" t="s">
        <v>452</v>
      </c>
      <c r="B79" s="77"/>
      <c r="C79" s="15"/>
      <c r="D79" s="15"/>
      <c r="E79" s="15"/>
      <c r="F79" s="15"/>
      <c r="G79" s="15"/>
      <c r="H79" s="118"/>
      <c r="I79" s="657"/>
    </row>
    <row r="80" spans="1:12">
      <c r="A80" s="381" t="s">
        <v>143</v>
      </c>
      <c r="B80" s="20" t="s">
        <v>453</v>
      </c>
      <c r="C80" s="199">
        <v>2020</v>
      </c>
      <c r="D80" s="199">
        <v>2021</v>
      </c>
      <c r="E80" s="199">
        <v>2022</v>
      </c>
      <c r="F80" s="199">
        <v>2023</v>
      </c>
      <c r="G80" s="199">
        <v>2024</v>
      </c>
    </row>
    <row r="81" spans="1:10">
      <c r="A81" s="304" t="s">
        <v>454</v>
      </c>
      <c r="B81" s="303"/>
      <c r="C81" s="333"/>
      <c r="D81" s="333"/>
      <c r="E81" s="333"/>
      <c r="F81" s="333"/>
      <c r="G81" s="333"/>
      <c r="H81" s="110"/>
    </row>
    <row r="82" spans="1:10" ht="33.75">
      <c r="A82" s="215" t="s">
        <v>163</v>
      </c>
      <c r="B82" s="268" t="s">
        <v>455</v>
      </c>
      <c r="C82" s="889">
        <v>58</v>
      </c>
      <c r="D82" s="889">
        <v>37.69</v>
      </c>
      <c r="E82" s="889">
        <v>32.208999999999996</v>
      </c>
      <c r="F82" s="856">
        <v>56.91</v>
      </c>
      <c r="G82" s="856">
        <v>25.76</v>
      </c>
      <c r="H82" s="462" t="s">
        <v>456</v>
      </c>
      <c r="I82" s="110"/>
      <c r="J82" s="110"/>
    </row>
    <row r="83" spans="1:10" ht="33.75">
      <c r="A83" s="215" t="s">
        <v>177</v>
      </c>
      <c r="B83" s="268" t="s">
        <v>455</v>
      </c>
      <c r="C83" s="842">
        <v>58</v>
      </c>
      <c r="D83" s="841">
        <v>37.69</v>
      </c>
      <c r="E83" s="841">
        <v>32.195999999999998</v>
      </c>
      <c r="F83" s="852">
        <v>56.91</v>
      </c>
      <c r="G83" s="852">
        <v>25.76</v>
      </c>
      <c r="H83" s="462" t="s">
        <v>456</v>
      </c>
      <c r="J83" s="4"/>
    </row>
    <row r="84" spans="1:10" ht="33.75">
      <c r="A84" s="215" t="s">
        <v>178</v>
      </c>
      <c r="B84" s="268" t="s">
        <v>455</v>
      </c>
      <c r="C84" s="842">
        <v>0.03</v>
      </c>
      <c r="D84" s="890">
        <v>0</v>
      </c>
      <c r="E84" s="841">
        <v>1.2999999999999999E-2</v>
      </c>
      <c r="F84" s="852">
        <v>0</v>
      </c>
      <c r="G84" s="852">
        <v>0</v>
      </c>
      <c r="H84" s="462" t="s">
        <v>456</v>
      </c>
      <c r="J84" s="4"/>
    </row>
    <row r="85" spans="1:10">
      <c r="A85" s="304" t="s">
        <v>457</v>
      </c>
      <c r="B85" s="303"/>
      <c r="C85" s="891"/>
      <c r="D85" s="891"/>
      <c r="E85" s="891"/>
      <c r="F85" s="892"/>
      <c r="G85" s="892"/>
      <c r="H85" s="489"/>
      <c r="I85" s="110"/>
      <c r="J85" s="110"/>
    </row>
    <row r="86" spans="1:10" ht="36" customHeight="1">
      <c r="A86" s="215" t="s">
        <v>163</v>
      </c>
      <c r="B86" s="268" t="s">
        <v>455</v>
      </c>
      <c r="C86" s="889">
        <v>44.03</v>
      </c>
      <c r="D86" s="889">
        <v>48.660000000000004</v>
      </c>
      <c r="E86" s="893">
        <v>71</v>
      </c>
      <c r="F86" s="856">
        <v>48.74</v>
      </c>
      <c r="G86" s="856">
        <v>21.54</v>
      </c>
      <c r="H86" s="462" t="s">
        <v>458</v>
      </c>
      <c r="I86" s="110"/>
      <c r="J86" s="545"/>
    </row>
    <row r="87" spans="1:10" ht="37.35" customHeight="1">
      <c r="A87" s="215" t="s">
        <v>177</v>
      </c>
      <c r="B87" s="268" t="s">
        <v>455</v>
      </c>
      <c r="C87" s="559">
        <v>44</v>
      </c>
      <c r="D87" s="842">
        <v>44.85</v>
      </c>
      <c r="E87" s="842">
        <v>71</v>
      </c>
      <c r="F87" s="852">
        <v>48.74</v>
      </c>
      <c r="G87" s="852">
        <v>21.54</v>
      </c>
      <c r="H87" s="462" t="s">
        <v>458</v>
      </c>
    </row>
    <row r="88" spans="1:10" ht="38.1" customHeight="1">
      <c r="A88" s="215" t="s">
        <v>178</v>
      </c>
      <c r="B88" s="268" t="s">
        <v>455</v>
      </c>
      <c r="C88" s="559">
        <v>0.03</v>
      </c>
      <c r="D88" s="842">
        <v>3.81</v>
      </c>
      <c r="E88" s="842">
        <v>1.2999999999999999E-2</v>
      </c>
      <c r="F88" s="852">
        <v>0</v>
      </c>
      <c r="G88" s="852">
        <v>0</v>
      </c>
      <c r="H88" s="462" t="s">
        <v>458</v>
      </c>
    </row>
    <row r="89" spans="1:10" ht="30" customHeight="1">
      <c r="A89" s="304" t="s">
        <v>459</v>
      </c>
      <c r="B89" s="303"/>
      <c r="C89" s="891"/>
      <c r="D89" s="891"/>
      <c r="E89" s="891"/>
      <c r="F89" s="892"/>
      <c r="G89" s="892"/>
      <c r="H89" s="583"/>
      <c r="I89" s="545"/>
      <c r="J89" s="110"/>
    </row>
    <row r="90" spans="1:10">
      <c r="A90" s="215" t="s">
        <v>163</v>
      </c>
      <c r="B90" s="268" t="s">
        <v>455</v>
      </c>
      <c r="C90" s="889">
        <v>60</v>
      </c>
      <c r="D90" s="889">
        <v>49.314</v>
      </c>
      <c r="E90" s="894">
        <v>10</v>
      </c>
      <c r="F90" s="852">
        <v>18.2</v>
      </c>
      <c r="G90" s="856">
        <v>22.42</v>
      </c>
      <c r="H90" s="583">
        <f>F90+G82-G86</f>
        <v>22.42</v>
      </c>
      <c r="I90" s="110"/>
      <c r="J90" s="110"/>
    </row>
    <row r="91" spans="1:10">
      <c r="A91" s="215" t="s">
        <v>177</v>
      </c>
      <c r="B91" s="268" t="s">
        <v>455</v>
      </c>
      <c r="C91" s="559">
        <v>56</v>
      </c>
      <c r="D91" s="559">
        <v>49.314</v>
      </c>
      <c r="E91" s="843">
        <v>10</v>
      </c>
      <c r="F91" s="820">
        <v>18.2</v>
      </c>
      <c r="G91" s="820">
        <v>22.42</v>
      </c>
      <c r="H91" s="310"/>
    </row>
    <row r="92" spans="1:10">
      <c r="A92" s="215" t="s">
        <v>178</v>
      </c>
      <c r="B92" s="268" t="s">
        <v>455</v>
      </c>
      <c r="C92" s="559">
        <v>3.8</v>
      </c>
      <c r="D92" s="559">
        <v>0</v>
      </c>
      <c r="E92" s="559">
        <v>0</v>
      </c>
      <c r="F92" s="820">
        <v>0</v>
      </c>
      <c r="G92" s="820">
        <v>0</v>
      </c>
      <c r="H92" s="110"/>
    </row>
    <row r="93" spans="1:10">
      <c r="A93" s="1047" t="s">
        <v>450</v>
      </c>
      <c r="B93" s="1048"/>
      <c r="C93" s="1048"/>
      <c r="D93" s="306"/>
      <c r="E93" s="306"/>
      <c r="F93" s="306"/>
      <c r="G93" s="306"/>
      <c r="I93" s="4"/>
    </row>
    <row r="94" spans="1:10" ht="27.75" customHeight="1">
      <c r="A94" s="1040" t="s">
        <v>816</v>
      </c>
      <c r="B94" s="1040"/>
      <c r="C94" s="1040"/>
      <c r="D94" s="1040"/>
      <c r="E94" s="1040"/>
      <c r="F94" s="1040"/>
      <c r="G94" s="708"/>
    </row>
    <row r="95" spans="1:10" ht="17.100000000000001" customHeight="1">
      <c r="A95" s="1045"/>
      <c r="B95" s="1045"/>
      <c r="C95" s="1045"/>
      <c r="D95" s="1045"/>
      <c r="E95" s="705"/>
      <c r="F95" s="468"/>
      <c r="G95" s="468"/>
    </row>
    <row r="96" spans="1:10">
      <c r="C96" s="4"/>
      <c r="D96" s="4"/>
    </row>
  </sheetData>
  <mergeCells count="13">
    <mergeCell ref="A47:G47"/>
    <mergeCell ref="A48:G48"/>
    <mergeCell ref="A77:G77"/>
    <mergeCell ref="A95:D95"/>
    <mergeCell ref="A2:D2"/>
    <mergeCell ref="A25:D25"/>
    <mergeCell ref="A93:C93"/>
    <mergeCell ref="A94:F94"/>
    <mergeCell ref="A20:G20"/>
    <mergeCell ref="A23:G23"/>
    <mergeCell ref="A21:G21"/>
    <mergeCell ref="A50:D50"/>
    <mergeCell ref="A22:G22"/>
  </mergeCells>
  <pageMargins left="0.7" right="0.7" top="0.75" bottom="0.75" header="0.3" footer="0.3"/>
  <pageSetup paperSize="8" scale="95"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54"/>
  <sheetViews>
    <sheetView topLeftCell="A40" zoomScale="120" zoomScaleNormal="120" workbookViewId="0">
      <selection activeCell="A9" sqref="A9:G9"/>
    </sheetView>
  </sheetViews>
  <sheetFormatPr defaultColWidth="11" defaultRowHeight="15.75"/>
  <cols>
    <col min="1" max="1" width="41.125" customWidth="1"/>
    <col min="2" max="2" width="15" customWidth="1"/>
    <col min="3" max="7" width="10.625" customWidth="1"/>
    <col min="8" max="8" width="10.625" style="110" customWidth="1"/>
    <col min="9" max="9" width="8.625" customWidth="1"/>
    <col min="10" max="10" width="10.625" customWidth="1"/>
  </cols>
  <sheetData>
    <row r="1" spans="1:10" ht="23.25" customHeight="1">
      <c r="A1" s="11" t="s">
        <v>460</v>
      </c>
      <c r="H1" s="540" t="s">
        <v>61</v>
      </c>
    </row>
    <row r="2" spans="1:10" ht="35.1" customHeight="1">
      <c r="A2" s="95" t="s">
        <v>461</v>
      </c>
      <c r="B2" s="95"/>
      <c r="C2" s="95"/>
      <c r="D2" s="15"/>
      <c r="E2" s="15"/>
      <c r="F2" s="15"/>
      <c r="G2" s="15"/>
      <c r="H2" s="132" t="s">
        <v>63</v>
      </c>
      <c r="I2" s="132" t="s">
        <v>25</v>
      </c>
      <c r="J2" s="132" t="s">
        <v>64</v>
      </c>
    </row>
    <row r="3" spans="1:10">
      <c r="A3" s="382" t="s">
        <v>143</v>
      </c>
      <c r="B3" s="198" t="s">
        <v>66</v>
      </c>
      <c r="C3" s="206">
        <v>2020</v>
      </c>
      <c r="D3" s="206">
        <v>2021</v>
      </c>
      <c r="E3" s="207">
        <v>2022</v>
      </c>
      <c r="F3" s="207">
        <v>2023</v>
      </c>
      <c r="G3" s="206">
        <v>2024</v>
      </c>
    </row>
    <row r="4" spans="1:10">
      <c r="A4" s="41" t="s">
        <v>462</v>
      </c>
      <c r="B4" s="37" t="s">
        <v>463</v>
      </c>
      <c r="C4" s="895">
        <v>163</v>
      </c>
      <c r="D4" s="828">
        <v>126</v>
      </c>
      <c r="E4" s="896">
        <v>120</v>
      </c>
      <c r="F4" s="896">
        <v>178</v>
      </c>
      <c r="G4" s="896">
        <v>140</v>
      </c>
      <c r="I4" s="464" t="s">
        <v>464</v>
      </c>
      <c r="J4" s="110"/>
    </row>
    <row r="5" spans="1:10" ht="25.5">
      <c r="A5" s="41" t="s">
        <v>465</v>
      </c>
      <c r="B5" s="37" t="s">
        <v>463</v>
      </c>
      <c r="C5" s="897">
        <v>94</v>
      </c>
      <c r="D5" s="897">
        <v>78</v>
      </c>
      <c r="E5" s="897">
        <v>105</v>
      </c>
      <c r="F5" s="897">
        <v>150</v>
      </c>
      <c r="G5" s="897">
        <v>117</v>
      </c>
      <c r="I5" s="464" t="s">
        <v>464</v>
      </c>
      <c r="J5" s="110"/>
    </row>
    <row r="6" spans="1:10" ht="31.35" customHeight="1">
      <c r="A6" s="361" t="s">
        <v>466</v>
      </c>
      <c r="B6" s="343" t="s">
        <v>266</v>
      </c>
      <c r="C6" s="346" t="s">
        <v>818</v>
      </c>
      <c r="D6" s="826">
        <v>3573</v>
      </c>
      <c r="E6" s="826">
        <v>3255</v>
      </c>
      <c r="F6" s="823">
        <v>5947</v>
      </c>
      <c r="G6" s="826">
        <v>4807</v>
      </c>
      <c r="H6" s="590"/>
      <c r="I6" s="591" t="s">
        <v>464</v>
      </c>
      <c r="J6" s="590"/>
    </row>
    <row r="7" spans="1:10" ht="25.5">
      <c r="A7" s="45" t="s">
        <v>467</v>
      </c>
      <c r="B7" s="282" t="s">
        <v>266</v>
      </c>
      <c r="C7" s="823"/>
      <c r="D7" s="823">
        <v>57087</v>
      </c>
      <c r="E7" s="823">
        <v>57564</v>
      </c>
      <c r="F7" s="823">
        <v>81280</v>
      </c>
      <c r="G7" s="823">
        <v>84484</v>
      </c>
      <c r="I7" s="464" t="s">
        <v>464</v>
      </c>
      <c r="J7" s="110"/>
    </row>
    <row r="8" spans="1:10">
      <c r="A8" s="575" t="s">
        <v>68</v>
      </c>
      <c r="B8" s="26"/>
      <c r="C8" s="298"/>
      <c r="D8" s="298"/>
      <c r="E8" s="298"/>
      <c r="F8" s="298"/>
      <c r="G8" s="298"/>
      <c r="I8" s="464"/>
      <c r="J8" s="110"/>
    </row>
    <row r="9" spans="1:10" ht="53.1" customHeight="1">
      <c r="A9" s="1052" t="s">
        <v>468</v>
      </c>
      <c r="B9" s="1053"/>
      <c r="C9" s="1053"/>
      <c r="D9" s="1053"/>
      <c r="E9" s="1053"/>
      <c r="F9" s="1053"/>
      <c r="G9" s="1053"/>
      <c r="I9" s="464"/>
      <c r="J9" s="110"/>
    </row>
    <row r="10" spans="1:10">
      <c r="A10" s="2"/>
      <c r="B10" s="2"/>
      <c r="H10" s="102"/>
    </row>
    <row r="11" spans="1:10" ht="35.1" customHeight="1">
      <c r="A11" s="95" t="s">
        <v>469</v>
      </c>
      <c r="B11" s="95"/>
      <c r="C11" s="95"/>
      <c r="D11" s="15"/>
      <c r="E11" s="15"/>
      <c r="F11" s="15"/>
      <c r="G11" s="15"/>
    </row>
    <row r="12" spans="1:10">
      <c r="A12" s="382" t="s">
        <v>143</v>
      </c>
      <c r="B12" s="198" t="s">
        <v>66</v>
      </c>
      <c r="C12" s="198">
        <v>2020</v>
      </c>
      <c r="D12" s="206">
        <v>2021</v>
      </c>
      <c r="E12" s="207">
        <v>2022</v>
      </c>
      <c r="F12" s="207">
        <v>2023</v>
      </c>
      <c r="G12" s="206">
        <v>2024</v>
      </c>
    </row>
    <row r="13" spans="1:10" ht="29.1" customHeight="1">
      <c r="A13" s="41" t="s">
        <v>470</v>
      </c>
      <c r="B13" s="46" t="s">
        <v>90</v>
      </c>
      <c r="C13" s="898">
        <v>32.200000000000003</v>
      </c>
      <c r="D13" s="899">
        <v>34.200000000000003</v>
      </c>
      <c r="E13" s="900">
        <v>37</v>
      </c>
      <c r="F13" s="900">
        <v>39</v>
      </c>
      <c r="G13" s="898">
        <v>40.4</v>
      </c>
      <c r="I13" s="464" t="s">
        <v>464</v>
      </c>
      <c r="J13" s="110"/>
    </row>
    <row r="14" spans="1:10">
      <c r="A14" s="162" t="s">
        <v>79</v>
      </c>
      <c r="B14" s="161"/>
      <c r="C14" s="51"/>
      <c r="D14" s="63"/>
      <c r="H14" s="84"/>
    </row>
    <row r="15" spans="1:10" ht="44.1" customHeight="1">
      <c r="A15" s="1052" t="s">
        <v>471</v>
      </c>
      <c r="B15" s="1053"/>
      <c r="C15" s="1053"/>
      <c r="D15" s="1053"/>
      <c r="E15" s="1053"/>
      <c r="F15" s="1053"/>
      <c r="G15" s="1053"/>
      <c r="H15" s="84"/>
    </row>
    <row r="16" spans="1:10">
      <c r="H16" s="84"/>
    </row>
    <row r="17" spans="1:11" ht="35.1" customHeight="1">
      <c r="A17" s="95" t="s">
        <v>472</v>
      </c>
      <c r="B17" s="95"/>
      <c r="C17" s="95"/>
      <c r="D17" s="15"/>
      <c r="E17" s="15"/>
      <c r="F17" s="15"/>
      <c r="G17" s="15"/>
      <c r="H17" s="127"/>
    </row>
    <row r="18" spans="1:11" ht="16.350000000000001" customHeight="1">
      <c r="A18" s="382" t="s">
        <v>143</v>
      </c>
      <c r="B18" s="198" t="s">
        <v>66</v>
      </c>
      <c r="C18" s="198">
        <v>2020</v>
      </c>
      <c r="D18" s="207">
        <v>2021</v>
      </c>
      <c r="E18" s="207">
        <v>2022</v>
      </c>
      <c r="F18" s="207">
        <v>2023</v>
      </c>
      <c r="G18" s="206">
        <v>2024</v>
      </c>
    </row>
    <row r="19" spans="1:11" ht="38.1" customHeight="1">
      <c r="A19" s="35" t="s">
        <v>473</v>
      </c>
      <c r="B19" s="33" t="s">
        <v>474</v>
      </c>
      <c r="C19" s="30">
        <v>43</v>
      </c>
      <c r="D19" s="549">
        <v>73.06</v>
      </c>
      <c r="E19" s="549">
        <v>7.4</v>
      </c>
      <c r="F19" s="30">
        <v>0.57999999999999996</v>
      </c>
      <c r="G19" s="989">
        <v>10.27</v>
      </c>
      <c r="H19" s="479" t="s">
        <v>475</v>
      </c>
      <c r="I19" s="464" t="s">
        <v>476</v>
      </c>
      <c r="K19" s="6"/>
    </row>
    <row r="20" spans="1:11" ht="16.350000000000001" customHeight="1">
      <c r="A20" s="35" t="s">
        <v>166</v>
      </c>
      <c r="B20" s="33" t="s">
        <v>474</v>
      </c>
      <c r="C20" s="867">
        <v>43</v>
      </c>
      <c r="D20" s="843">
        <v>73.06</v>
      </c>
      <c r="E20" s="843">
        <v>7.4</v>
      </c>
      <c r="F20" s="865">
        <v>0.57999999999999996</v>
      </c>
      <c r="G20" s="990">
        <v>10.27</v>
      </c>
      <c r="H20" s="479"/>
      <c r="I20" s="464"/>
      <c r="J20" s="110"/>
      <c r="K20" s="6"/>
    </row>
    <row r="21" spans="1:11" ht="16.350000000000001" customHeight="1">
      <c r="A21" s="35" t="s">
        <v>167</v>
      </c>
      <c r="B21" s="33" t="s">
        <v>474</v>
      </c>
      <c r="C21" s="867">
        <v>0</v>
      </c>
      <c r="D21" s="843">
        <v>0</v>
      </c>
      <c r="E21" s="843">
        <v>0</v>
      </c>
      <c r="F21" s="843">
        <v>0</v>
      </c>
      <c r="G21" s="991">
        <v>0</v>
      </c>
      <c r="H21" s="479"/>
      <c r="I21" s="464"/>
      <c r="J21" s="110"/>
      <c r="K21" s="6"/>
    </row>
    <row r="22" spans="1:11" ht="38.1" customHeight="1">
      <c r="A22" s="35" t="s">
        <v>477</v>
      </c>
      <c r="B22" s="33" t="s">
        <v>474</v>
      </c>
      <c r="C22" s="30">
        <v>6</v>
      </c>
      <c r="D22" s="549">
        <v>70.900000000000006</v>
      </c>
      <c r="E22" s="30">
        <v>0.01</v>
      </c>
      <c r="F22" s="30">
        <v>0</v>
      </c>
      <c r="G22" s="989">
        <v>8.0500000000000007</v>
      </c>
      <c r="H22" s="479" t="s">
        <v>475</v>
      </c>
      <c r="I22" s="464" t="s">
        <v>476</v>
      </c>
      <c r="J22" s="110"/>
    </row>
    <row r="23" spans="1:11" ht="16.350000000000001" customHeight="1">
      <c r="A23" s="35" t="s">
        <v>166</v>
      </c>
      <c r="B23" s="33" t="s">
        <v>474</v>
      </c>
      <c r="C23" s="867">
        <v>6</v>
      </c>
      <c r="D23" s="843">
        <v>70.900000000000006</v>
      </c>
      <c r="E23" s="865">
        <v>0.01</v>
      </c>
      <c r="F23" s="867">
        <v>0</v>
      </c>
      <c r="G23" s="991">
        <v>8.0500000000000007</v>
      </c>
      <c r="H23" s="479"/>
      <c r="I23" s="464"/>
      <c r="J23" s="110"/>
    </row>
    <row r="24" spans="1:11" ht="16.350000000000001" customHeight="1">
      <c r="A24" s="35" t="s">
        <v>167</v>
      </c>
      <c r="B24" s="33" t="s">
        <v>474</v>
      </c>
      <c r="C24" s="867">
        <v>0</v>
      </c>
      <c r="D24" s="843">
        <v>0</v>
      </c>
      <c r="E24" s="843">
        <v>0</v>
      </c>
      <c r="F24" s="867">
        <v>0</v>
      </c>
      <c r="G24" s="992">
        <v>0</v>
      </c>
      <c r="H24" s="479"/>
      <c r="I24" s="464"/>
      <c r="J24" s="110"/>
    </row>
    <row r="25" spans="1:11" ht="43.35" customHeight="1">
      <c r="A25" s="35" t="s">
        <v>478</v>
      </c>
      <c r="B25" s="33" t="s">
        <v>479</v>
      </c>
      <c r="C25" s="30">
        <v>4</v>
      </c>
      <c r="D25" s="30">
        <v>4</v>
      </c>
      <c r="E25" s="30">
        <v>1</v>
      </c>
      <c r="F25" s="30">
        <v>0</v>
      </c>
      <c r="G25" s="30">
        <v>3</v>
      </c>
      <c r="H25" s="479" t="s">
        <v>480</v>
      </c>
      <c r="I25" s="464" t="s">
        <v>476</v>
      </c>
      <c r="J25" s="110"/>
    </row>
    <row r="26" spans="1:11" ht="16.350000000000001" customHeight="1">
      <c r="A26" s="35" t="s">
        <v>166</v>
      </c>
      <c r="B26" s="33" t="s">
        <v>479</v>
      </c>
      <c r="C26" s="867">
        <v>4</v>
      </c>
      <c r="D26" s="867">
        <v>4</v>
      </c>
      <c r="E26" s="867">
        <v>1</v>
      </c>
      <c r="F26" s="867">
        <v>0</v>
      </c>
      <c r="G26" s="867">
        <v>3</v>
      </c>
      <c r="H26" s="479"/>
      <c r="I26" s="464"/>
      <c r="J26" s="110"/>
    </row>
    <row r="27" spans="1:11" ht="16.350000000000001" customHeight="1">
      <c r="A27" s="35" t="s">
        <v>167</v>
      </c>
      <c r="B27" s="33" t="s">
        <v>479</v>
      </c>
      <c r="C27" s="867">
        <v>0</v>
      </c>
      <c r="D27" s="867">
        <v>0</v>
      </c>
      <c r="E27" s="867">
        <v>0</v>
      </c>
      <c r="F27" s="867">
        <v>0</v>
      </c>
      <c r="G27" s="867">
        <v>0</v>
      </c>
      <c r="H27" s="479"/>
      <c r="I27" s="464"/>
      <c r="J27" s="110"/>
    </row>
    <row r="28" spans="1:11" ht="57" customHeight="1">
      <c r="A28" s="546" t="s">
        <v>481</v>
      </c>
      <c r="B28" s="324" t="s">
        <v>482</v>
      </c>
      <c r="C28" s="836">
        <v>0.6</v>
      </c>
      <c r="D28" s="865">
        <v>0.96859298147927186</v>
      </c>
      <c r="E28" s="865">
        <v>0.09</v>
      </c>
      <c r="F28" s="901">
        <v>8.0000000000000002E-3</v>
      </c>
      <c r="G28" s="865">
        <v>0.13300000000000001</v>
      </c>
      <c r="H28" s="611"/>
      <c r="I28" s="110"/>
      <c r="J28" s="110"/>
    </row>
    <row r="29" spans="1:11" ht="16.350000000000001" customHeight="1">
      <c r="A29" s="798" t="s">
        <v>483</v>
      </c>
      <c r="B29" s="33" t="s">
        <v>474</v>
      </c>
      <c r="C29" s="549">
        <v>0</v>
      </c>
      <c r="D29" s="549">
        <v>0</v>
      </c>
      <c r="E29" s="549">
        <v>1.004</v>
      </c>
      <c r="F29" s="549">
        <v>2.48</v>
      </c>
      <c r="G29" s="549">
        <v>1.98</v>
      </c>
      <c r="H29" s="611"/>
      <c r="I29" s="110"/>
      <c r="J29" s="110"/>
    </row>
    <row r="30" spans="1:11" ht="16.350000000000001" customHeight="1">
      <c r="A30" s="35" t="s">
        <v>166</v>
      </c>
      <c r="B30" s="33" t="s">
        <v>474</v>
      </c>
      <c r="C30" s="843">
        <v>0</v>
      </c>
      <c r="D30" s="843">
        <v>0</v>
      </c>
      <c r="E30" s="843">
        <v>0</v>
      </c>
      <c r="F30" s="843">
        <v>0</v>
      </c>
      <c r="G30" s="843">
        <v>0</v>
      </c>
      <c r="H30" s="611"/>
      <c r="I30" s="110"/>
      <c r="J30" s="110"/>
    </row>
    <row r="31" spans="1:11" ht="16.350000000000001" customHeight="1">
      <c r="A31" s="35" t="s">
        <v>167</v>
      </c>
      <c r="B31" s="33" t="s">
        <v>474</v>
      </c>
      <c r="C31" s="843">
        <v>0</v>
      </c>
      <c r="D31" s="843">
        <v>0</v>
      </c>
      <c r="E31" s="901">
        <v>1.004</v>
      </c>
      <c r="F31" s="865">
        <v>2.48</v>
      </c>
      <c r="G31" s="865">
        <v>1.98</v>
      </c>
      <c r="H31" s="611"/>
      <c r="I31" s="110"/>
      <c r="J31" s="110"/>
    </row>
    <row r="32" spans="1:11" ht="16.350000000000001" customHeight="1">
      <c r="A32" s="35" t="s">
        <v>484</v>
      </c>
      <c r="B32" s="33"/>
      <c r="C32" s="836"/>
      <c r="D32" s="843"/>
      <c r="E32" s="843"/>
      <c r="F32" s="843"/>
      <c r="G32" s="843"/>
      <c r="H32" s="611"/>
      <c r="I32" s="110"/>
      <c r="J32" s="110"/>
    </row>
    <row r="33" spans="1:11" ht="26.1" customHeight="1">
      <c r="A33" s="23" t="s">
        <v>485</v>
      </c>
      <c r="B33" s="33" t="s">
        <v>474</v>
      </c>
      <c r="C33" s="836">
        <v>0.6</v>
      </c>
      <c r="D33" s="843">
        <v>0</v>
      </c>
      <c r="E33" s="901">
        <v>1.004</v>
      </c>
      <c r="F33" s="865">
        <v>2.48</v>
      </c>
      <c r="G33" s="865">
        <v>1.98</v>
      </c>
      <c r="H33" s="479" t="s">
        <v>486</v>
      </c>
      <c r="I33" s="110"/>
      <c r="J33" s="110"/>
    </row>
    <row r="34" spans="1:11" ht="16.350000000000001" customHeight="1">
      <c r="A34" s="35" t="s">
        <v>487</v>
      </c>
      <c r="B34" s="33" t="s">
        <v>474</v>
      </c>
      <c r="C34" s="836"/>
      <c r="D34" s="843"/>
      <c r="E34" s="843"/>
      <c r="F34" s="865"/>
      <c r="G34" s="867">
        <v>0</v>
      </c>
      <c r="H34" s="479"/>
      <c r="I34" s="110"/>
      <c r="J34" s="110"/>
    </row>
    <row r="35" spans="1:11" ht="16.350000000000001" customHeight="1">
      <c r="A35" s="35" t="s">
        <v>488</v>
      </c>
      <c r="B35" s="33" t="s">
        <v>474</v>
      </c>
      <c r="C35" s="836"/>
      <c r="D35" s="843"/>
      <c r="E35" s="901">
        <v>1.004</v>
      </c>
      <c r="F35" s="865">
        <v>2.48</v>
      </c>
      <c r="G35" s="865">
        <v>1.98</v>
      </c>
      <c r="H35" s="479"/>
      <c r="I35" s="110"/>
      <c r="J35" s="110"/>
    </row>
    <row r="36" spans="1:11" ht="25.5">
      <c r="A36" s="23" t="s">
        <v>489</v>
      </c>
      <c r="B36" s="33" t="s">
        <v>474</v>
      </c>
      <c r="C36" s="843">
        <v>0</v>
      </c>
      <c r="D36" s="843">
        <v>0</v>
      </c>
      <c r="E36" s="843">
        <v>0</v>
      </c>
      <c r="F36" s="843">
        <v>0</v>
      </c>
      <c r="G36" s="843">
        <v>0</v>
      </c>
      <c r="H36" s="479" t="s">
        <v>486</v>
      </c>
      <c r="I36" s="110"/>
      <c r="J36" s="110"/>
    </row>
    <row r="37" spans="1:11" ht="26.1" customHeight="1">
      <c r="A37" s="23" t="s">
        <v>490</v>
      </c>
      <c r="B37" s="33" t="s">
        <v>474</v>
      </c>
      <c r="C37" s="843">
        <v>0</v>
      </c>
      <c r="D37" s="843">
        <v>0</v>
      </c>
      <c r="E37" s="843">
        <v>0</v>
      </c>
      <c r="F37" s="843">
        <v>0</v>
      </c>
      <c r="G37" s="843">
        <v>0</v>
      </c>
      <c r="H37" s="479" t="s">
        <v>486</v>
      </c>
      <c r="I37" s="110"/>
      <c r="J37" s="110"/>
    </row>
    <row r="38" spans="1:11" ht="30" customHeight="1">
      <c r="A38" s="45" t="s">
        <v>491</v>
      </c>
      <c r="B38" s="33" t="s">
        <v>474</v>
      </c>
      <c r="C38" s="843">
        <v>0</v>
      </c>
      <c r="D38" s="843">
        <v>0</v>
      </c>
      <c r="E38" s="843">
        <v>0</v>
      </c>
      <c r="F38" s="843">
        <v>0</v>
      </c>
      <c r="G38" s="843">
        <v>0</v>
      </c>
      <c r="H38" s="479" t="s">
        <v>486</v>
      </c>
      <c r="I38" s="110"/>
      <c r="J38" s="110"/>
      <c r="K38" s="110"/>
    </row>
    <row r="39" spans="1:11">
      <c r="A39" s="187" t="s">
        <v>68</v>
      </c>
      <c r="B39" s="154"/>
      <c r="C39" s="155"/>
      <c r="D39" s="10"/>
      <c r="E39" s="10"/>
      <c r="F39" s="10"/>
      <c r="G39" s="10"/>
    </row>
    <row r="40" spans="1:11" ht="66" customHeight="1">
      <c r="A40" s="1052" t="s">
        <v>838</v>
      </c>
      <c r="B40" s="1053"/>
      <c r="C40" s="1053"/>
      <c r="D40" s="1053"/>
      <c r="E40" s="1053"/>
      <c r="F40" s="1053"/>
      <c r="G40" s="1053"/>
      <c r="H40"/>
    </row>
    <row r="41" spans="1:11" ht="16.350000000000001" customHeight="1"/>
    <row r="42" spans="1:11" ht="39.75" customHeight="1">
      <c r="A42" s="95" t="s">
        <v>492</v>
      </c>
      <c r="B42" s="95"/>
      <c r="C42" s="95"/>
      <c r="D42" s="95"/>
      <c r="E42" s="95"/>
      <c r="F42" s="95"/>
      <c r="G42" s="95"/>
      <c r="H42" s="189"/>
    </row>
    <row r="43" spans="1:11">
      <c r="A43" s="382" t="s">
        <v>143</v>
      </c>
      <c r="B43" s="20" t="s">
        <v>66</v>
      </c>
      <c r="C43" s="20">
        <v>2020</v>
      </c>
      <c r="D43" s="199">
        <v>2021</v>
      </c>
      <c r="E43" s="201">
        <v>2022</v>
      </c>
      <c r="F43" s="201">
        <v>2023</v>
      </c>
      <c r="G43" s="199">
        <v>2024</v>
      </c>
    </row>
    <row r="44" spans="1:11">
      <c r="A44" s="193" t="s">
        <v>493</v>
      </c>
      <c r="B44" s="186" t="s">
        <v>494</v>
      </c>
      <c r="C44" s="827">
        <v>2110</v>
      </c>
      <c r="D44" s="827">
        <v>2137</v>
      </c>
      <c r="E44" s="827">
        <v>2121</v>
      </c>
      <c r="F44" s="827">
        <v>2025</v>
      </c>
      <c r="G44" s="827">
        <v>2017</v>
      </c>
      <c r="I44" s="464" t="s">
        <v>464</v>
      </c>
      <c r="J44" s="110"/>
    </row>
    <row r="45" spans="1:11">
      <c r="A45" s="104" t="s">
        <v>495</v>
      </c>
      <c r="B45" s="186" t="s">
        <v>494</v>
      </c>
      <c r="C45" s="343">
        <v>392</v>
      </c>
      <c r="D45" s="343">
        <v>460</v>
      </c>
      <c r="E45" s="343">
        <v>475</v>
      </c>
      <c r="F45" s="343">
        <v>468</v>
      </c>
      <c r="G45" s="343">
        <v>446</v>
      </c>
      <c r="I45" s="464" t="s">
        <v>464</v>
      </c>
      <c r="J45" s="110"/>
    </row>
    <row r="46" spans="1:11">
      <c r="A46" s="325" t="s">
        <v>496</v>
      </c>
      <c r="B46" s="186" t="s">
        <v>494</v>
      </c>
      <c r="C46" s="343">
        <v>423</v>
      </c>
      <c r="D46" s="343">
        <v>441</v>
      </c>
      <c r="E46" s="343">
        <v>441</v>
      </c>
      <c r="F46" s="343">
        <v>388</v>
      </c>
      <c r="G46" s="343">
        <v>388</v>
      </c>
      <c r="I46" s="464" t="s">
        <v>464</v>
      </c>
      <c r="J46" s="110"/>
    </row>
    <row r="47" spans="1:11">
      <c r="A47" s="104" t="s">
        <v>497</v>
      </c>
      <c r="B47" s="186" t="s">
        <v>494</v>
      </c>
      <c r="C47" s="343">
        <v>193</v>
      </c>
      <c r="D47" s="343">
        <v>180</v>
      </c>
      <c r="E47" s="343">
        <v>180</v>
      </c>
      <c r="F47" s="343">
        <v>169</v>
      </c>
      <c r="G47" s="343">
        <v>169</v>
      </c>
      <c r="I47" s="464" t="s">
        <v>464</v>
      </c>
      <c r="J47" s="110"/>
    </row>
    <row r="48" spans="1:11">
      <c r="A48" s="104" t="s">
        <v>498</v>
      </c>
      <c r="B48" s="186" t="s">
        <v>494</v>
      </c>
      <c r="C48" s="343">
        <v>406</v>
      </c>
      <c r="D48" s="343">
        <v>418</v>
      </c>
      <c r="E48" s="343">
        <v>407</v>
      </c>
      <c r="F48" s="343">
        <v>407</v>
      </c>
      <c r="G48" s="343">
        <v>421</v>
      </c>
      <c r="I48" s="464" t="s">
        <v>464</v>
      </c>
      <c r="J48" s="110"/>
    </row>
    <row r="49" spans="1:10">
      <c r="A49" s="104" t="s">
        <v>499</v>
      </c>
      <c r="B49" s="186" t="s">
        <v>494</v>
      </c>
      <c r="C49" s="343">
        <v>188</v>
      </c>
      <c r="D49" s="343">
        <v>188</v>
      </c>
      <c r="E49" s="343">
        <v>155</v>
      </c>
      <c r="F49" s="343">
        <v>175</v>
      </c>
      <c r="G49" s="343">
        <v>175</v>
      </c>
      <c r="I49" s="464" t="s">
        <v>464</v>
      </c>
      <c r="J49" s="110"/>
    </row>
    <row r="50" spans="1:10">
      <c r="A50" s="194" t="s">
        <v>500</v>
      </c>
      <c r="B50" s="186" t="s">
        <v>494</v>
      </c>
      <c r="C50" s="902">
        <v>66</v>
      </c>
      <c r="D50" s="902">
        <v>66</v>
      </c>
      <c r="E50" s="343">
        <v>66</v>
      </c>
      <c r="F50" s="343">
        <v>66</v>
      </c>
      <c r="G50" s="343">
        <v>65</v>
      </c>
      <c r="I50" s="464" t="s">
        <v>464</v>
      </c>
      <c r="J50" s="110"/>
    </row>
    <row r="51" spans="1:10">
      <c r="A51" s="104" t="s">
        <v>501</v>
      </c>
      <c r="B51" s="186" t="s">
        <v>494</v>
      </c>
      <c r="C51" s="343">
        <v>95</v>
      </c>
      <c r="D51" s="343">
        <v>94</v>
      </c>
      <c r="E51" s="343">
        <v>94</v>
      </c>
      <c r="F51" s="343">
        <v>41</v>
      </c>
      <c r="G51" s="343">
        <v>42</v>
      </c>
      <c r="I51" s="464" t="s">
        <v>464</v>
      </c>
      <c r="J51" s="110"/>
    </row>
    <row r="52" spans="1:10">
      <c r="A52" s="104" t="s">
        <v>502</v>
      </c>
      <c r="B52" s="186" t="s">
        <v>494</v>
      </c>
      <c r="C52" s="343">
        <v>347</v>
      </c>
      <c r="D52" s="343">
        <v>290</v>
      </c>
      <c r="E52" s="343">
        <v>303</v>
      </c>
      <c r="F52" s="343">
        <v>311</v>
      </c>
      <c r="G52" s="343">
        <v>311</v>
      </c>
      <c r="I52" s="464" t="s">
        <v>464</v>
      </c>
      <c r="J52" s="110"/>
    </row>
    <row r="53" spans="1:10">
      <c r="A53" s="903" t="s">
        <v>450</v>
      </c>
      <c r="B53" s="306"/>
      <c r="C53" s="904"/>
      <c r="D53" s="306"/>
      <c r="E53" s="306"/>
      <c r="F53" s="306"/>
      <c r="G53" s="306"/>
    </row>
    <row r="54" spans="1:10" ht="39" customHeight="1">
      <c r="A54" s="1054" t="s">
        <v>819</v>
      </c>
      <c r="B54" s="1040"/>
      <c r="C54" s="1040"/>
      <c r="D54" s="1040"/>
      <c r="E54" s="1040"/>
      <c r="F54" s="1040"/>
      <c r="G54" s="1040"/>
    </row>
  </sheetData>
  <mergeCells count="4">
    <mergeCell ref="A9:G9"/>
    <mergeCell ref="A15:G15"/>
    <mergeCell ref="A40:G40"/>
    <mergeCell ref="A54:G54"/>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67"/>
  <sheetViews>
    <sheetView topLeftCell="A25" zoomScale="120" zoomScaleNormal="120" workbookViewId="0">
      <selection activeCell="A29" sqref="A29"/>
    </sheetView>
  </sheetViews>
  <sheetFormatPr defaultColWidth="11" defaultRowHeight="15.75"/>
  <cols>
    <col min="1" max="1" width="41.125" style="2" customWidth="1"/>
    <col min="2" max="2" width="10.625" style="2" customWidth="1"/>
    <col min="3" max="7" width="10.625" customWidth="1"/>
    <col min="8" max="8" width="10.625" style="105" customWidth="1"/>
    <col min="9" max="9" width="8.625" customWidth="1"/>
    <col min="10" max="10" width="10.625" customWidth="1"/>
    <col min="11" max="11" width="16.125" customWidth="1"/>
  </cols>
  <sheetData>
    <row r="1" spans="1:11" ht="23.25" customHeight="1">
      <c r="A1" s="294" t="s">
        <v>503</v>
      </c>
      <c r="B1" s="6"/>
      <c r="H1" s="540" t="s">
        <v>61</v>
      </c>
    </row>
    <row r="2" spans="1:11" ht="35.1" customHeight="1">
      <c r="A2" s="95" t="s">
        <v>504</v>
      </c>
      <c r="B2" s="95"/>
      <c r="C2" s="95"/>
      <c r="D2" s="77"/>
      <c r="E2" s="77"/>
      <c r="F2" s="77"/>
      <c r="G2" s="77"/>
      <c r="H2" s="132" t="s">
        <v>63</v>
      </c>
      <c r="I2" s="132" t="s">
        <v>25</v>
      </c>
      <c r="J2" s="132" t="s">
        <v>64</v>
      </c>
      <c r="K2" s="119"/>
    </row>
    <row r="3" spans="1:11">
      <c r="A3" s="382" t="s">
        <v>143</v>
      </c>
      <c r="B3" s="211" t="s">
        <v>66</v>
      </c>
      <c r="C3" s="207">
        <v>2020</v>
      </c>
      <c r="D3" s="208">
        <v>2021</v>
      </c>
      <c r="E3" s="208">
        <v>2022</v>
      </c>
      <c r="F3" s="208">
        <v>2023</v>
      </c>
      <c r="G3" s="724">
        <v>2024</v>
      </c>
    </row>
    <row r="4" spans="1:11" ht="16.350000000000001" customHeight="1">
      <c r="A4" s="442" t="s">
        <v>505</v>
      </c>
      <c r="B4" s="103" t="s">
        <v>479</v>
      </c>
      <c r="C4" s="905">
        <v>28</v>
      </c>
      <c r="D4" s="905">
        <v>17</v>
      </c>
      <c r="E4" s="905">
        <v>18</v>
      </c>
      <c r="F4" s="905">
        <v>21</v>
      </c>
      <c r="G4" s="905">
        <v>19</v>
      </c>
      <c r="H4" s="110"/>
      <c r="I4" s="110"/>
      <c r="J4" s="474" t="s">
        <v>27</v>
      </c>
    </row>
    <row r="5" spans="1:11" ht="28.35" customHeight="1">
      <c r="A5" s="440" t="s">
        <v>506</v>
      </c>
      <c r="B5" s="103" t="s">
        <v>479</v>
      </c>
      <c r="C5" s="868">
        <v>2</v>
      </c>
      <c r="D5" s="863">
        <v>0</v>
      </c>
      <c r="E5" s="343">
        <v>1</v>
      </c>
      <c r="F5" s="343">
        <v>2</v>
      </c>
      <c r="G5" s="343">
        <v>2</v>
      </c>
      <c r="H5" s="110"/>
      <c r="I5" s="465" t="s">
        <v>507</v>
      </c>
      <c r="J5" s="479" t="s">
        <v>508</v>
      </c>
    </row>
    <row r="6" spans="1:11" ht="16.350000000000001" customHeight="1">
      <c r="A6" s="433" t="s">
        <v>509</v>
      </c>
      <c r="B6" s="103" t="s">
        <v>479</v>
      </c>
      <c r="C6" s="868">
        <v>7</v>
      </c>
      <c r="D6" s="863">
        <v>5</v>
      </c>
      <c r="E6" s="343">
        <v>6</v>
      </c>
      <c r="F6" s="343">
        <v>3</v>
      </c>
      <c r="G6" s="343">
        <v>7</v>
      </c>
      <c r="H6" s="110"/>
      <c r="I6" s="110"/>
      <c r="J6" s="110"/>
      <c r="K6" s="479"/>
    </row>
    <row r="7" spans="1:11" ht="16.350000000000001" customHeight="1">
      <c r="A7" s="433" t="s">
        <v>510</v>
      </c>
      <c r="B7" s="103" t="s">
        <v>479</v>
      </c>
      <c r="C7" s="868">
        <v>19</v>
      </c>
      <c r="D7" s="863">
        <v>12</v>
      </c>
      <c r="E7" s="343">
        <v>11</v>
      </c>
      <c r="F7" s="343">
        <v>16</v>
      </c>
      <c r="G7" s="343">
        <v>10</v>
      </c>
      <c r="H7" s="110"/>
      <c r="I7" s="110"/>
      <c r="J7" s="110"/>
      <c r="K7" s="474"/>
    </row>
    <row r="8" spans="1:11" ht="32.1" customHeight="1">
      <c r="A8" s="547" t="s">
        <v>511</v>
      </c>
      <c r="B8" s="103" t="s">
        <v>479</v>
      </c>
      <c r="C8" s="868">
        <v>4</v>
      </c>
      <c r="D8" s="863">
        <v>1</v>
      </c>
      <c r="E8" s="343">
        <v>4</v>
      </c>
      <c r="F8" s="343">
        <v>7</v>
      </c>
      <c r="G8" s="343">
        <v>2</v>
      </c>
      <c r="H8" s="110"/>
      <c r="I8" s="110"/>
      <c r="J8" s="110"/>
      <c r="K8" s="446"/>
    </row>
    <row r="9" spans="1:11" ht="28.35" customHeight="1">
      <c r="A9" s="906" t="s">
        <v>820</v>
      </c>
      <c r="B9" s="186" t="s">
        <v>494</v>
      </c>
      <c r="C9" s="828">
        <v>32</v>
      </c>
      <c r="D9" s="828">
        <v>18</v>
      </c>
      <c r="E9" s="828">
        <v>40</v>
      </c>
      <c r="F9" s="828">
        <v>29</v>
      </c>
      <c r="G9" s="828">
        <v>29</v>
      </c>
      <c r="H9" s="479" t="s">
        <v>512</v>
      </c>
      <c r="I9" s="110"/>
      <c r="J9" s="110"/>
      <c r="K9" s="446"/>
    </row>
    <row r="10" spans="1:11" ht="25.5" customHeight="1">
      <c r="A10" s="734" t="s">
        <v>513</v>
      </c>
      <c r="B10" s="186" t="s">
        <v>494</v>
      </c>
      <c r="C10" s="868">
        <v>4</v>
      </c>
      <c r="D10" s="868">
        <v>1</v>
      </c>
      <c r="E10" s="868">
        <v>14</v>
      </c>
      <c r="F10" s="863">
        <v>7</v>
      </c>
      <c r="G10" s="863">
        <v>2</v>
      </c>
      <c r="H10" s="576"/>
      <c r="I10" s="110"/>
      <c r="J10" s="110"/>
      <c r="K10" s="446"/>
    </row>
    <row r="11" spans="1:11" ht="31.35" customHeight="1">
      <c r="A11" s="433" t="s">
        <v>514</v>
      </c>
      <c r="B11" s="186" t="s">
        <v>494</v>
      </c>
      <c r="C11" s="868">
        <v>28</v>
      </c>
      <c r="D11" s="868">
        <v>17</v>
      </c>
      <c r="E11" s="868">
        <v>26</v>
      </c>
      <c r="F11" s="868">
        <v>22</v>
      </c>
      <c r="G11" s="37">
        <v>27</v>
      </c>
      <c r="H11" s="479"/>
      <c r="I11" s="110"/>
      <c r="J11" s="110"/>
    </row>
    <row r="12" spans="1:11" ht="29.1" customHeight="1">
      <c r="A12" s="432" t="s">
        <v>515</v>
      </c>
      <c r="B12" s="186" t="s">
        <v>494</v>
      </c>
      <c r="C12" s="868">
        <v>2</v>
      </c>
      <c r="D12" s="863">
        <v>0</v>
      </c>
      <c r="E12" s="343">
        <v>1</v>
      </c>
      <c r="F12" s="343">
        <v>2</v>
      </c>
      <c r="G12" s="37">
        <v>2</v>
      </c>
      <c r="H12" s="479" t="s">
        <v>512</v>
      </c>
      <c r="I12" s="110"/>
      <c r="J12" s="462" t="s">
        <v>516</v>
      </c>
    </row>
    <row r="13" spans="1:11" ht="32.1" customHeight="1">
      <c r="A13" s="432" t="s">
        <v>517</v>
      </c>
      <c r="B13" s="186" t="s">
        <v>494</v>
      </c>
      <c r="C13" s="868">
        <v>26</v>
      </c>
      <c r="D13" s="863">
        <v>17</v>
      </c>
      <c r="E13" s="343">
        <v>25</v>
      </c>
      <c r="F13" s="343">
        <v>20</v>
      </c>
      <c r="G13" s="343">
        <v>25</v>
      </c>
      <c r="H13" s="110"/>
      <c r="I13" s="110"/>
      <c r="J13" s="464" t="s">
        <v>518</v>
      </c>
    </row>
    <row r="14" spans="1:11" ht="16.350000000000001" customHeight="1">
      <c r="A14" s="451" t="s">
        <v>519</v>
      </c>
      <c r="B14" s="186" t="s">
        <v>494</v>
      </c>
      <c r="C14" s="868"/>
      <c r="D14" s="863"/>
      <c r="E14" s="863">
        <v>7</v>
      </c>
      <c r="F14" s="863">
        <v>3</v>
      </c>
      <c r="G14" s="863">
        <v>15</v>
      </c>
      <c r="H14" s="479" t="s">
        <v>512</v>
      </c>
      <c r="I14" s="110"/>
      <c r="J14" s="110"/>
    </row>
    <row r="15" spans="1:11" ht="16.350000000000001" customHeight="1">
      <c r="A15" s="451" t="s">
        <v>520</v>
      </c>
      <c r="B15" s="186" t="s">
        <v>494</v>
      </c>
      <c r="C15" s="868"/>
      <c r="D15" s="863"/>
      <c r="E15" s="863">
        <v>18</v>
      </c>
      <c r="F15" s="863">
        <v>17</v>
      </c>
      <c r="G15" s="863">
        <v>10</v>
      </c>
      <c r="H15" s="479"/>
      <c r="I15" s="110"/>
      <c r="J15" s="110"/>
    </row>
    <row r="16" spans="1:11">
      <c r="A16" s="434" t="s">
        <v>79</v>
      </c>
      <c r="B16" s="27"/>
      <c r="C16" s="110"/>
      <c r="D16" s="438"/>
      <c r="E16" s="438"/>
      <c r="F16" s="438"/>
      <c r="G16" s="438"/>
    </row>
    <row r="17" spans="1:11" ht="66" customHeight="1">
      <c r="A17" s="1042" t="s">
        <v>521</v>
      </c>
      <c r="B17" s="1042"/>
      <c r="C17" s="1042"/>
      <c r="D17" s="1042"/>
      <c r="E17" s="1042"/>
      <c r="F17" s="1042"/>
      <c r="G17" s="1042"/>
    </row>
    <row r="18" spans="1:11" ht="33" customHeight="1">
      <c r="A18" s="1042" t="s">
        <v>522</v>
      </c>
      <c r="B18" s="1042"/>
      <c r="C18" s="1042"/>
      <c r="D18" s="1042"/>
      <c r="E18" s="1042"/>
      <c r="F18" s="1042"/>
      <c r="G18" s="1042"/>
    </row>
    <row r="20" spans="1:11" ht="35.1" customHeight="1">
      <c r="A20" s="95" t="s">
        <v>523</v>
      </c>
      <c r="B20" s="95"/>
      <c r="C20" s="95"/>
      <c r="D20" s="77"/>
      <c r="E20" s="77"/>
      <c r="F20" s="77"/>
      <c r="G20" s="77"/>
    </row>
    <row r="21" spans="1:11" ht="16.350000000000001" customHeight="1">
      <c r="A21" s="382" t="s">
        <v>143</v>
      </c>
      <c r="B21" s="211"/>
      <c r="C21" s="211">
        <v>2020</v>
      </c>
      <c r="D21" s="211">
        <v>2021</v>
      </c>
      <c r="E21" s="211">
        <v>2022</v>
      </c>
      <c r="F21" s="211">
        <v>2023</v>
      </c>
      <c r="G21" s="198">
        <v>2024</v>
      </c>
      <c r="H21" s="142"/>
    </row>
    <row r="22" spans="1:11" ht="31.35" customHeight="1">
      <c r="A22" s="45" t="s">
        <v>524</v>
      </c>
      <c r="B22" s="24"/>
      <c r="C22" s="868">
        <v>0.28000000000000003</v>
      </c>
      <c r="D22" s="907">
        <v>0.17</v>
      </c>
      <c r="E22" s="907">
        <v>0.17</v>
      </c>
      <c r="F22" s="846">
        <v>0.2</v>
      </c>
      <c r="G22" s="846">
        <v>0.18</v>
      </c>
      <c r="H22" s="110"/>
      <c r="I22" s="110"/>
      <c r="J22" s="110"/>
    </row>
    <row r="23" spans="1:11" ht="33" customHeight="1">
      <c r="A23" s="45" t="s">
        <v>525</v>
      </c>
      <c r="B23" s="24"/>
      <c r="C23" s="867">
        <v>0.17</v>
      </c>
      <c r="D23" s="865">
        <v>0.1</v>
      </c>
      <c r="E23" s="846">
        <v>0.15</v>
      </c>
      <c r="F23" s="846">
        <v>0.13</v>
      </c>
      <c r="G23" s="865">
        <v>0.15</v>
      </c>
      <c r="H23" s="110"/>
      <c r="I23" s="465" t="s">
        <v>507</v>
      </c>
      <c r="J23" s="464" t="s">
        <v>27</v>
      </c>
      <c r="K23" s="531"/>
    </row>
    <row r="24" spans="1:11" ht="30" customHeight="1">
      <c r="A24" s="45" t="s">
        <v>526</v>
      </c>
      <c r="B24" s="24"/>
      <c r="C24" s="867">
        <v>0.01</v>
      </c>
      <c r="D24" s="907">
        <v>0</v>
      </c>
      <c r="E24" s="907">
        <v>0.01</v>
      </c>
      <c r="F24" s="907">
        <v>0.01</v>
      </c>
      <c r="G24" s="907">
        <v>0.01</v>
      </c>
      <c r="H24" s="479" t="s">
        <v>512</v>
      </c>
      <c r="I24" s="465" t="s">
        <v>507</v>
      </c>
      <c r="J24" s="110"/>
    </row>
    <row r="25" spans="1:11" ht="22.35" customHeight="1">
      <c r="A25" s="35" t="s">
        <v>527</v>
      </c>
      <c r="B25" s="709"/>
      <c r="C25" s="867"/>
      <c r="D25" s="907"/>
      <c r="E25" s="907"/>
      <c r="F25" s="907"/>
      <c r="G25" s="32">
        <v>0.01</v>
      </c>
      <c r="H25" s="479" t="s">
        <v>528</v>
      </c>
      <c r="I25" s="465"/>
      <c r="J25" s="110"/>
    </row>
    <row r="26" spans="1:11" ht="27" customHeight="1">
      <c r="A26" s="35" t="s">
        <v>529</v>
      </c>
      <c r="B26" s="709"/>
      <c r="C26" s="867"/>
      <c r="D26" s="907"/>
      <c r="E26" s="907"/>
      <c r="F26" s="907"/>
      <c r="G26" s="32">
        <v>0.05</v>
      </c>
      <c r="H26" s="479" t="s">
        <v>530</v>
      </c>
      <c r="I26" s="465"/>
      <c r="J26" s="110"/>
    </row>
    <row r="27" spans="1:11" ht="32.1" customHeight="1">
      <c r="A27" s="45" t="s">
        <v>531</v>
      </c>
      <c r="B27" s="24"/>
      <c r="C27" s="867">
        <v>0.04</v>
      </c>
      <c r="D27" s="907">
        <v>0.03</v>
      </c>
      <c r="E27" s="907">
        <v>0.04</v>
      </c>
      <c r="F27" s="907">
        <v>0.02</v>
      </c>
      <c r="G27" s="907">
        <v>0.08</v>
      </c>
      <c r="H27" s="479" t="s">
        <v>512</v>
      </c>
      <c r="I27" s="110"/>
      <c r="J27" s="110"/>
    </row>
    <row r="28" spans="1:11" ht="35.1" customHeight="1">
      <c r="A28" s="45" t="s">
        <v>532</v>
      </c>
      <c r="B28" s="23"/>
      <c r="C28" s="868">
        <v>0.19</v>
      </c>
      <c r="D28" s="868">
        <v>0.11</v>
      </c>
      <c r="E28" s="907">
        <v>0.23</v>
      </c>
      <c r="F28" s="907">
        <v>0.17</v>
      </c>
      <c r="G28" s="867">
        <v>0.16</v>
      </c>
      <c r="H28" s="479" t="s">
        <v>512</v>
      </c>
      <c r="I28" s="465" t="s">
        <v>507</v>
      </c>
      <c r="J28" s="110"/>
    </row>
    <row r="29" spans="1:11" s="463" customFormat="1" ht="27" customHeight="1">
      <c r="A29" s="99" t="s">
        <v>527</v>
      </c>
      <c r="B29" s="996"/>
      <c r="C29" s="997"/>
      <c r="D29" s="997"/>
      <c r="E29" s="998"/>
      <c r="F29" s="998"/>
      <c r="G29" s="998">
        <v>0.09</v>
      </c>
      <c r="H29" s="995" t="s">
        <v>533</v>
      </c>
      <c r="I29" s="464"/>
      <c r="J29" s="464"/>
    </row>
    <row r="30" spans="1:11" s="463" customFormat="1" ht="29.1" customHeight="1">
      <c r="A30" s="99" t="s">
        <v>529</v>
      </c>
      <c r="B30" s="996"/>
      <c r="C30" s="997"/>
      <c r="D30" s="997"/>
      <c r="E30" s="998"/>
      <c r="F30" s="998"/>
      <c r="G30" s="999">
        <v>0.36</v>
      </c>
      <c r="H30" s="995" t="s">
        <v>530</v>
      </c>
      <c r="I30" s="464"/>
      <c r="J30" s="464"/>
    </row>
    <row r="31" spans="1:11" ht="18" customHeight="1">
      <c r="A31" s="399" t="s">
        <v>68</v>
      </c>
      <c r="B31" s="184"/>
      <c r="C31" s="27"/>
      <c r="D31" s="437"/>
      <c r="E31" s="437"/>
      <c r="F31" s="437"/>
      <c r="G31" s="437"/>
      <c r="H31" s="122"/>
    </row>
    <row r="32" spans="1:11" ht="20.100000000000001" customHeight="1">
      <c r="A32" s="1042" t="s">
        <v>534</v>
      </c>
      <c r="B32" s="1042"/>
      <c r="C32" s="1042"/>
      <c r="D32" s="1042"/>
      <c r="E32" s="1042"/>
      <c r="F32" s="1042"/>
      <c r="G32" s="1042"/>
      <c r="H32" s="435"/>
    </row>
    <row r="33" spans="1:10" ht="34.35" customHeight="1">
      <c r="A33" s="1042" t="s">
        <v>535</v>
      </c>
      <c r="B33" s="1042"/>
      <c r="C33" s="1042"/>
      <c r="D33" s="1042"/>
      <c r="E33" s="1042"/>
      <c r="F33" s="1042"/>
      <c r="G33" s="1042"/>
      <c r="H33" s="435"/>
    </row>
    <row r="34" spans="1:10" ht="43.35" customHeight="1">
      <c r="A34" s="1042" t="s">
        <v>536</v>
      </c>
      <c r="B34" s="1042"/>
      <c r="C34" s="1042"/>
      <c r="D34" s="1042"/>
      <c r="E34" s="1042"/>
      <c r="F34" s="1042"/>
      <c r="G34" s="1042"/>
      <c r="H34" s="435"/>
    </row>
    <row r="35" spans="1:10" ht="33" customHeight="1">
      <c r="A35" s="1042" t="s">
        <v>537</v>
      </c>
      <c r="B35" s="1042"/>
      <c r="C35" s="1042"/>
      <c r="D35" s="1042"/>
      <c r="E35" s="1042"/>
      <c r="F35" s="1042"/>
      <c r="G35" s="1042"/>
      <c r="H35" s="435"/>
    </row>
    <row r="36" spans="1:10" ht="45" customHeight="1">
      <c r="A36" s="1042" t="s">
        <v>830</v>
      </c>
      <c r="B36" s="1042"/>
      <c r="C36" s="1042"/>
      <c r="D36" s="1042"/>
      <c r="E36" s="1042"/>
      <c r="F36" s="1042"/>
      <c r="G36" s="1042"/>
      <c r="H36" s="435"/>
    </row>
    <row r="37" spans="1:10" ht="52.35" customHeight="1">
      <c r="A37" s="1042" t="s">
        <v>538</v>
      </c>
      <c r="B37" s="1042"/>
      <c r="C37" s="1042"/>
      <c r="D37" s="1042"/>
      <c r="E37" s="1042"/>
      <c r="F37" s="1042"/>
      <c r="G37" s="1042"/>
      <c r="H37"/>
    </row>
    <row r="38" spans="1:10" ht="16.350000000000001" customHeight="1">
      <c r="A38" s="577"/>
      <c r="B38" s="577"/>
      <c r="C38" s="577"/>
      <c r="D38" s="577"/>
      <c r="E38" s="577"/>
      <c r="F38" s="577"/>
      <c r="G38" s="577"/>
      <c r="H38" s="435"/>
    </row>
    <row r="39" spans="1:10" ht="35.1" customHeight="1">
      <c r="A39" s="95" t="s">
        <v>539</v>
      </c>
      <c r="B39" s="15"/>
      <c r="C39" s="15"/>
      <c r="D39" s="15"/>
      <c r="E39" s="15"/>
      <c r="F39" s="15"/>
      <c r="G39" s="15"/>
    </row>
    <row r="40" spans="1:10">
      <c r="A40" s="578"/>
      <c r="B40" s="429" t="s">
        <v>66</v>
      </c>
      <c r="C40" s="429">
        <v>2020</v>
      </c>
      <c r="D40" s="429">
        <v>2021</v>
      </c>
      <c r="E40" s="429">
        <v>2022</v>
      </c>
      <c r="F40" s="211">
        <v>2023</v>
      </c>
      <c r="G40" s="198">
        <v>2024</v>
      </c>
    </row>
    <row r="41" spans="1:10" ht="33" customHeight="1">
      <c r="A41" s="45" t="s">
        <v>540</v>
      </c>
      <c r="B41" s="579" t="s">
        <v>541</v>
      </c>
      <c r="C41" s="249">
        <v>169</v>
      </c>
      <c r="D41" s="249">
        <v>170</v>
      </c>
      <c r="E41" s="249">
        <v>177</v>
      </c>
      <c r="F41" s="323">
        <v>176</v>
      </c>
      <c r="G41" s="214">
        <v>178</v>
      </c>
      <c r="H41" s="479" t="s">
        <v>512</v>
      </c>
    </row>
    <row r="42" spans="1:10" ht="16.350000000000001" customHeight="1">
      <c r="A42" s="436"/>
      <c r="B42" s="436"/>
      <c r="C42" s="436"/>
      <c r="D42" s="13"/>
      <c r="E42" s="13"/>
      <c r="F42" s="13"/>
      <c r="G42" s="13"/>
      <c r="H42" s="435"/>
    </row>
    <row r="43" spans="1:10" ht="35.1" customHeight="1">
      <c r="A43" s="95" t="s">
        <v>542</v>
      </c>
      <c r="B43" s="95"/>
      <c r="C43" s="150"/>
      <c r="D43" s="15"/>
      <c r="E43" s="15"/>
      <c r="F43" s="15"/>
      <c r="G43" s="15"/>
    </row>
    <row r="44" spans="1:10">
      <c r="A44" s="382" t="s">
        <v>143</v>
      </c>
      <c r="B44" s="211" t="s">
        <v>66</v>
      </c>
      <c r="C44" s="429">
        <v>2020</v>
      </c>
      <c r="D44" s="208">
        <v>2021</v>
      </c>
      <c r="E44" s="208">
        <v>2022</v>
      </c>
      <c r="F44" s="208">
        <v>2023</v>
      </c>
      <c r="G44" s="724">
        <v>2024</v>
      </c>
      <c r="H44" s="479"/>
    </row>
    <row r="45" spans="1:10" ht="31.35" customHeight="1">
      <c r="A45" s="45" t="s">
        <v>543</v>
      </c>
      <c r="B45" s="45"/>
      <c r="C45" s="612"/>
      <c r="D45" s="613"/>
      <c r="E45" s="613"/>
      <c r="F45" s="613"/>
      <c r="G45" s="725"/>
      <c r="H45" s="474"/>
    </row>
    <row r="46" spans="1:10">
      <c r="A46" s="45" t="s">
        <v>544</v>
      </c>
      <c r="B46" s="45"/>
      <c r="C46" s="867">
        <v>8.3000000000000004E-2</v>
      </c>
      <c r="D46" s="867">
        <v>9.1999999999999998E-2</v>
      </c>
      <c r="E46" s="867">
        <v>0.13500000000000001</v>
      </c>
      <c r="F46" s="907">
        <v>0.13400000000000001</v>
      </c>
      <c r="G46" s="907">
        <v>6.6000000000000003E-2</v>
      </c>
      <c r="H46" s="110"/>
      <c r="I46" s="465" t="s">
        <v>545</v>
      </c>
      <c r="J46" s="110"/>
    </row>
    <row r="47" spans="1:10">
      <c r="A47" s="45" t="s">
        <v>546</v>
      </c>
      <c r="B47" s="45"/>
      <c r="C47" s="867">
        <v>0.05</v>
      </c>
      <c r="D47" s="867">
        <v>5.7000000000000002E-2</v>
      </c>
      <c r="E47" s="867">
        <v>8.1000000000000003E-2</v>
      </c>
      <c r="F47" s="907">
        <v>0.08</v>
      </c>
      <c r="G47" s="907">
        <v>0.04</v>
      </c>
      <c r="H47" s="110"/>
      <c r="I47" s="465" t="s">
        <v>545</v>
      </c>
      <c r="J47" s="110"/>
    </row>
    <row r="48" spans="1:10" ht="25.5">
      <c r="A48" s="45" t="s">
        <v>547</v>
      </c>
      <c r="B48" s="186" t="s">
        <v>494</v>
      </c>
      <c r="C48" s="867">
        <v>7</v>
      </c>
      <c r="D48" s="868">
        <v>8</v>
      </c>
      <c r="E48" s="868">
        <v>12</v>
      </c>
      <c r="F48" s="863">
        <v>12</v>
      </c>
      <c r="G48" s="863">
        <v>6</v>
      </c>
      <c r="H48" s="479" t="s">
        <v>548</v>
      </c>
      <c r="I48" s="465" t="s">
        <v>545</v>
      </c>
      <c r="J48" s="464" t="s">
        <v>27</v>
      </c>
    </row>
    <row r="49" spans="1:10">
      <c r="A49" s="614" t="s">
        <v>79</v>
      </c>
      <c r="B49" s="224"/>
    </row>
    <row r="50" spans="1:10" ht="30" customHeight="1">
      <c r="A50" s="1024" t="s">
        <v>549</v>
      </c>
      <c r="B50" s="1024"/>
      <c r="C50" s="1024"/>
      <c r="D50" s="1024"/>
      <c r="E50" s="1024"/>
      <c r="F50" s="1024"/>
      <c r="G50" s="1024"/>
    </row>
    <row r="51" spans="1:10" ht="30" customHeight="1">
      <c r="A51" s="1024" t="s">
        <v>550</v>
      </c>
      <c r="B51" s="1024"/>
      <c r="C51" s="1024"/>
      <c r="D51" s="1024"/>
      <c r="E51" s="1024"/>
      <c r="F51" s="1024"/>
      <c r="G51" s="1024"/>
    </row>
    <row r="52" spans="1:10" ht="48" customHeight="1">
      <c r="A52" s="1024" t="s">
        <v>551</v>
      </c>
      <c r="B52" s="1024"/>
      <c r="C52" s="1024"/>
      <c r="D52" s="1024"/>
      <c r="E52" s="1024"/>
      <c r="F52" s="1024"/>
      <c r="G52" s="1024"/>
      <c r="H52" s="105" t="s">
        <v>44</v>
      </c>
    </row>
    <row r="53" spans="1:10">
      <c r="A53" s="81"/>
      <c r="B53" s="81"/>
      <c r="C53" s="27"/>
    </row>
    <row r="54" spans="1:10" ht="35.1" customHeight="1">
      <c r="A54" s="95" t="s">
        <v>552</v>
      </c>
      <c r="B54" s="95"/>
      <c r="C54" s="150"/>
      <c r="D54" s="15"/>
      <c r="E54" s="15"/>
      <c r="F54" s="15"/>
      <c r="G54" s="15"/>
    </row>
    <row r="55" spans="1:10">
      <c r="A55" s="382" t="s">
        <v>143</v>
      </c>
      <c r="B55" s="211" t="s">
        <v>66</v>
      </c>
      <c r="C55" s="211">
        <v>2020</v>
      </c>
      <c r="D55" s="208">
        <v>2021</v>
      </c>
      <c r="E55" s="208">
        <v>2022</v>
      </c>
      <c r="F55" s="208">
        <v>2023</v>
      </c>
      <c r="G55" s="724">
        <v>2024</v>
      </c>
      <c r="H55" s="479"/>
    </row>
    <row r="56" spans="1:10" ht="16.350000000000001" customHeight="1">
      <c r="A56" s="25" t="s">
        <v>553</v>
      </c>
      <c r="B56" s="103" t="s">
        <v>479</v>
      </c>
      <c r="C56" s="828">
        <v>10</v>
      </c>
      <c r="D56" s="828">
        <v>16</v>
      </c>
      <c r="E56" s="828">
        <v>15</v>
      </c>
      <c r="F56" s="828">
        <v>12</v>
      </c>
      <c r="G56" s="828">
        <v>21</v>
      </c>
      <c r="H56" s="101"/>
      <c r="I56" s="110"/>
      <c r="J56" s="110"/>
    </row>
    <row r="57" spans="1:10" ht="16.350000000000001" customHeight="1">
      <c r="A57" s="23" t="s">
        <v>554</v>
      </c>
      <c r="B57" s="103" t="s">
        <v>479</v>
      </c>
      <c r="C57" s="868">
        <v>3</v>
      </c>
      <c r="D57" s="863">
        <v>3</v>
      </c>
      <c r="E57" s="863">
        <v>3</v>
      </c>
      <c r="F57" s="343">
        <v>1</v>
      </c>
      <c r="G57" s="343">
        <v>5</v>
      </c>
      <c r="H57" s="101"/>
      <c r="I57" s="110"/>
      <c r="J57" s="110"/>
    </row>
    <row r="58" spans="1:10" ht="16.350000000000001" customHeight="1">
      <c r="A58" s="433" t="s">
        <v>821</v>
      </c>
      <c r="B58" s="103" t="s">
        <v>479</v>
      </c>
      <c r="C58" s="868">
        <v>1</v>
      </c>
      <c r="D58" s="863">
        <v>6</v>
      </c>
      <c r="E58" s="863">
        <v>3</v>
      </c>
      <c r="F58" s="343">
        <v>3</v>
      </c>
      <c r="G58" s="343">
        <v>4</v>
      </c>
      <c r="H58" s="101"/>
      <c r="I58" s="110"/>
      <c r="J58" s="110"/>
    </row>
    <row r="59" spans="1:10" ht="16.350000000000001" customHeight="1">
      <c r="A59" s="433" t="s">
        <v>822</v>
      </c>
      <c r="B59" s="103" t="s">
        <v>479</v>
      </c>
      <c r="C59" s="868">
        <v>6</v>
      </c>
      <c r="D59" s="868">
        <v>7</v>
      </c>
      <c r="E59" s="868">
        <v>9</v>
      </c>
      <c r="F59" s="868">
        <v>8</v>
      </c>
      <c r="G59" s="868">
        <v>12</v>
      </c>
      <c r="H59" s="101"/>
      <c r="I59" s="110"/>
      <c r="J59" s="110"/>
    </row>
    <row r="60" spans="1:10">
      <c r="A60" s="25" t="s">
        <v>555</v>
      </c>
      <c r="B60" s="186" t="s">
        <v>494</v>
      </c>
      <c r="C60" s="828">
        <v>11</v>
      </c>
      <c r="D60" s="908">
        <v>17</v>
      </c>
      <c r="E60" s="908">
        <v>17</v>
      </c>
      <c r="F60" s="908">
        <v>13</v>
      </c>
      <c r="G60" s="908">
        <v>23</v>
      </c>
      <c r="H60" s="479" t="s">
        <v>512</v>
      </c>
      <c r="I60" s="110"/>
      <c r="J60" s="110"/>
    </row>
    <row r="61" spans="1:10" ht="30" customHeight="1">
      <c r="A61" s="432" t="s">
        <v>515</v>
      </c>
      <c r="B61" s="186" t="s">
        <v>494</v>
      </c>
      <c r="C61" s="868">
        <v>4</v>
      </c>
      <c r="D61" s="863">
        <v>3</v>
      </c>
      <c r="E61" s="343">
        <v>3</v>
      </c>
      <c r="F61" s="343">
        <v>1</v>
      </c>
      <c r="G61" s="343">
        <v>7</v>
      </c>
      <c r="H61" s="479" t="s">
        <v>512</v>
      </c>
      <c r="I61" s="110"/>
      <c r="J61" s="110"/>
    </row>
    <row r="62" spans="1:10" ht="33" customHeight="1">
      <c r="A62" s="432" t="s">
        <v>556</v>
      </c>
      <c r="B62" s="186" t="s">
        <v>494</v>
      </c>
      <c r="C62" s="868">
        <v>7</v>
      </c>
      <c r="D62" s="863">
        <v>14</v>
      </c>
      <c r="E62" s="343">
        <v>14</v>
      </c>
      <c r="F62" s="343">
        <v>12</v>
      </c>
      <c r="G62" s="343">
        <v>16</v>
      </c>
      <c r="H62" s="101"/>
      <c r="I62" s="110"/>
      <c r="J62" s="110"/>
    </row>
    <row r="63" spans="1:10" ht="32.1" customHeight="1">
      <c r="A63" s="451" t="s">
        <v>557</v>
      </c>
      <c r="B63" s="186" t="s">
        <v>494</v>
      </c>
      <c r="C63" s="868"/>
      <c r="D63" s="888"/>
      <c r="E63" s="37">
        <v>3</v>
      </c>
      <c r="F63" s="37">
        <v>4</v>
      </c>
      <c r="G63" s="37">
        <v>4</v>
      </c>
      <c r="H63" s="479" t="s">
        <v>512</v>
      </c>
      <c r="I63" s="110"/>
      <c r="J63" s="110"/>
    </row>
    <row r="64" spans="1:10" ht="30" customHeight="1">
      <c r="A64" s="451" t="s">
        <v>558</v>
      </c>
      <c r="B64" s="186" t="s">
        <v>494</v>
      </c>
      <c r="C64" s="909"/>
      <c r="D64" s="910"/>
      <c r="E64" s="868">
        <v>11</v>
      </c>
      <c r="F64" s="37">
        <v>8</v>
      </c>
      <c r="G64" s="37">
        <v>12</v>
      </c>
      <c r="H64" s="975" t="s">
        <v>512</v>
      </c>
      <c r="J64" s="110"/>
    </row>
    <row r="65" spans="1:7">
      <c r="A65" s="434" t="s">
        <v>79</v>
      </c>
      <c r="B65"/>
    </row>
    <row r="66" spans="1:7" ht="20.100000000000001" customHeight="1">
      <c r="A66" s="1024" t="s">
        <v>559</v>
      </c>
      <c r="B66" s="1024"/>
      <c r="C66" s="1024"/>
      <c r="D66" s="1024"/>
      <c r="E66" s="1024"/>
      <c r="F66" s="1024"/>
      <c r="G66" s="1024"/>
    </row>
    <row r="67" spans="1:7">
      <c r="A67"/>
      <c r="B67"/>
    </row>
  </sheetData>
  <mergeCells count="12">
    <mergeCell ref="A66:G66"/>
    <mergeCell ref="A17:G17"/>
    <mergeCell ref="A18:G18"/>
    <mergeCell ref="A50:G50"/>
    <mergeCell ref="A51:G51"/>
    <mergeCell ref="A52:G52"/>
    <mergeCell ref="A33:G33"/>
    <mergeCell ref="A34:G34"/>
    <mergeCell ref="A35:G35"/>
    <mergeCell ref="A36:G36"/>
    <mergeCell ref="A37:G37"/>
    <mergeCell ref="A32:G32"/>
  </mergeCells>
  <pageMargins left="0.7" right="0.7" top="0.75" bottom="0.75" header="0.3" footer="0.3"/>
  <pageSetup paperSize="9"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277"/>
  <sheetViews>
    <sheetView topLeftCell="A79" zoomScale="120" zoomScaleNormal="120" workbookViewId="0">
      <selection activeCell="C16" sqref="C16"/>
    </sheetView>
  </sheetViews>
  <sheetFormatPr defaultColWidth="11" defaultRowHeight="15.75"/>
  <cols>
    <col min="1" max="1" width="41.125" customWidth="1"/>
    <col min="2" max="7" width="10.625" customWidth="1"/>
    <col min="8" max="8" width="10.625" style="469" customWidth="1"/>
    <col min="9" max="9" width="8.625" style="463" customWidth="1"/>
    <col min="10" max="10" width="12.125" style="463" customWidth="1"/>
    <col min="11" max="11" width="10.625" customWidth="1"/>
  </cols>
  <sheetData>
    <row r="1" spans="1:10" ht="24" customHeight="1">
      <c r="A1" s="11" t="s">
        <v>560</v>
      </c>
    </row>
    <row r="2" spans="1:10" ht="25.35" customHeight="1">
      <c r="A2" s="523" t="s">
        <v>561</v>
      </c>
    </row>
    <row r="3" spans="1:10">
      <c r="A3" s="523" t="s">
        <v>562</v>
      </c>
    </row>
    <row r="4" spans="1:10">
      <c r="A4" s="523" t="s">
        <v>563</v>
      </c>
    </row>
    <row r="5" spans="1:10">
      <c r="A5" s="523" t="s">
        <v>564</v>
      </c>
    </row>
    <row r="6" spans="1:10">
      <c r="A6" s="295"/>
      <c r="C6" s="306"/>
      <c r="D6" s="306"/>
      <c r="E6" s="306"/>
      <c r="F6" s="306"/>
      <c r="G6" s="306"/>
    </row>
    <row r="7" spans="1:10">
      <c r="A7" s="296" t="s">
        <v>561</v>
      </c>
      <c r="C7" s="306"/>
      <c r="D7" s="306"/>
      <c r="E7" s="306"/>
      <c r="F7" s="306"/>
      <c r="G7" s="306"/>
      <c r="H7" s="540" t="s">
        <v>61</v>
      </c>
    </row>
    <row r="8" spans="1:10" ht="35.1" customHeight="1">
      <c r="A8" s="95" t="s">
        <v>565</v>
      </c>
      <c r="B8" s="109"/>
      <c r="C8" s="312"/>
      <c r="D8" s="313"/>
      <c r="E8" s="313"/>
      <c r="F8" s="313"/>
      <c r="G8" s="313"/>
      <c r="H8" s="132" t="s">
        <v>63</v>
      </c>
      <c r="I8" s="132" t="s">
        <v>25</v>
      </c>
      <c r="J8" s="132" t="s">
        <v>64</v>
      </c>
    </row>
    <row r="9" spans="1:10" ht="21.75" customHeight="1">
      <c r="A9" s="382" t="s">
        <v>143</v>
      </c>
      <c r="B9" s="20" t="s">
        <v>453</v>
      </c>
      <c r="C9" s="314">
        <v>2020</v>
      </c>
      <c r="D9" s="729">
        <v>2021</v>
      </c>
      <c r="E9" s="730">
        <v>2022</v>
      </c>
      <c r="F9" s="730">
        <v>2023</v>
      </c>
      <c r="G9" s="729">
        <v>2024</v>
      </c>
    </row>
    <row r="10" spans="1:10" ht="21" customHeight="1">
      <c r="A10" s="202" t="s">
        <v>163</v>
      </c>
      <c r="B10" s="186" t="s">
        <v>494</v>
      </c>
      <c r="C10" s="869">
        <v>100768</v>
      </c>
      <c r="D10" s="869">
        <v>102424</v>
      </c>
      <c r="E10" s="869">
        <v>104323</v>
      </c>
      <c r="F10" s="869">
        <v>104172</v>
      </c>
      <c r="G10" s="911">
        <v>104736</v>
      </c>
      <c r="H10" s="482" t="s">
        <v>566</v>
      </c>
      <c r="I10" s="110"/>
      <c r="J10" s="478" t="s">
        <v>567</v>
      </c>
    </row>
    <row r="11" spans="1:10" ht="24.75" customHeight="1">
      <c r="A11" s="52" t="s">
        <v>262</v>
      </c>
      <c r="B11" s="186" t="s">
        <v>494</v>
      </c>
      <c r="C11" s="344">
        <v>84383</v>
      </c>
      <c r="D11" s="344">
        <v>86541</v>
      </c>
      <c r="E11" s="344">
        <v>88861</v>
      </c>
      <c r="F11" s="344">
        <v>89759</v>
      </c>
      <c r="G11" s="719">
        <v>90477</v>
      </c>
      <c r="H11" s="482" t="s">
        <v>566</v>
      </c>
      <c r="I11" s="110"/>
      <c r="J11" s="482" t="s">
        <v>27</v>
      </c>
    </row>
    <row r="12" spans="1:10" ht="16.350000000000001" customHeight="1">
      <c r="A12" s="52" t="s">
        <v>263</v>
      </c>
      <c r="B12" s="186" t="s">
        <v>494</v>
      </c>
      <c r="C12" s="344">
        <v>16385</v>
      </c>
      <c r="D12" s="344">
        <v>15883</v>
      </c>
      <c r="E12" s="344">
        <v>15462</v>
      </c>
      <c r="F12" s="344">
        <v>14413</v>
      </c>
      <c r="G12" s="719">
        <v>14259</v>
      </c>
      <c r="H12" s="482" t="s">
        <v>566</v>
      </c>
      <c r="I12" s="110"/>
      <c r="J12" s="110"/>
    </row>
    <row r="13" spans="1:10" ht="16.350000000000001" customHeight="1">
      <c r="A13" s="404" t="s">
        <v>79</v>
      </c>
      <c r="B13" s="405"/>
      <c r="C13" s="653"/>
      <c r="D13" s="654"/>
      <c r="E13" s="654"/>
      <c r="F13" s="654"/>
      <c r="G13" s="654"/>
      <c r="H13" s="482"/>
      <c r="I13" s="110"/>
      <c r="J13" s="110"/>
    </row>
    <row r="14" spans="1:10" ht="31.35" customHeight="1">
      <c r="A14" s="1057" t="s">
        <v>823</v>
      </c>
      <c r="B14" s="1018"/>
      <c r="C14" s="1018"/>
      <c r="D14" s="1018"/>
      <c r="E14" s="1018"/>
      <c r="F14" s="1018"/>
      <c r="G14" s="1018"/>
      <c r="H14" s="482"/>
      <c r="I14" s="110"/>
      <c r="J14" s="110"/>
    </row>
    <row r="15" spans="1:10" ht="16.350000000000001" customHeight="1">
      <c r="A15" s="1060"/>
      <c r="B15" s="1060"/>
      <c r="C15" s="1060"/>
    </row>
    <row r="16" spans="1:10" ht="35.1" customHeight="1">
      <c r="A16" s="95" t="s">
        <v>568</v>
      </c>
      <c r="B16" s="109"/>
      <c r="C16" s="109"/>
      <c r="D16" s="15"/>
      <c r="E16" s="15"/>
      <c r="F16" s="15"/>
      <c r="G16" s="15"/>
      <c r="H16" s="482"/>
      <c r="I16" s="491"/>
    </row>
    <row r="17" spans="1:10" ht="16.350000000000001" customHeight="1">
      <c r="A17" s="382" t="s">
        <v>143</v>
      </c>
      <c r="B17" s="20" t="s">
        <v>453</v>
      </c>
      <c r="C17" s="731">
        <v>2020</v>
      </c>
      <c r="D17" s="732">
        <v>2021</v>
      </c>
      <c r="E17" s="732">
        <v>2022</v>
      </c>
      <c r="F17" s="732">
        <v>2023</v>
      </c>
      <c r="G17" s="731">
        <v>2024</v>
      </c>
    </row>
    <row r="18" spans="1:10" ht="16.350000000000001" customHeight="1">
      <c r="A18" s="202" t="s">
        <v>163</v>
      </c>
      <c r="B18" s="186" t="s">
        <v>494</v>
      </c>
      <c r="C18" s="912">
        <v>104264</v>
      </c>
      <c r="D18" s="912">
        <v>106835</v>
      </c>
      <c r="E18" s="913">
        <v>109047</v>
      </c>
      <c r="F18" s="914">
        <v>107596</v>
      </c>
      <c r="G18" s="914">
        <v>108698</v>
      </c>
      <c r="H18" s="482" t="s">
        <v>566</v>
      </c>
      <c r="I18" s="110"/>
      <c r="J18" s="482" t="s">
        <v>27</v>
      </c>
    </row>
    <row r="19" spans="1:10" ht="16.350000000000001" customHeight="1">
      <c r="A19" s="52" t="s">
        <v>262</v>
      </c>
      <c r="B19" s="186" t="s">
        <v>494</v>
      </c>
      <c r="C19" s="915">
        <v>87858</v>
      </c>
      <c r="D19" s="915">
        <v>90808</v>
      </c>
      <c r="E19" s="915">
        <v>93550</v>
      </c>
      <c r="F19" s="916">
        <v>93275</v>
      </c>
      <c r="G19" s="916">
        <v>94160</v>
      </c>
      <c r="H19" s="482" t="s">
        <v>566</v>
      </c>
      <c r="J19" s="482" t="s">
        <v>27</v>
      </c>
    </row>
    <row r="20" spans="1:10" ht="16.350000000000001" customHeight="1">
      <c r="A20" s="54"/>
      <c r="B20" s="65" t="s">
        <v>90</v>
      </c>
      <c r="C20" s="885">
        <v>84.264942837412733</v>
      </c>
      <c r="D20" s="885">
        <v>84.998361960031815</v>
      </c>
      <c r="E20" s="885">
        <v>85.788696617055024</v>
      </c>
      <c r="F20" s="874">
        <v>86.690025651511206</v>
      </c>
      <c r="G20" s="874">
        <v>86.625328892895908</v>
      </c>
      <c r="H20" s="482"/>
      <c r="I20" s="493"/>
      <c r="J20" s="482" t="s">
        <v>27</v>
      </c>
    </row>
    <row r="21" spans="1:10" ht="16.350000000000001" customHeight="1">
      <c r="A21" s="54" t="s">
        <v>263</v>
      </c>
      <c r="B21" s="186" t="s">
        <v>494</v>
      </c>
      <c r="C21" s="915">
        <v>16406</v>
      </c>
      <c r="D21" s="915">
        <v>16027</v>
      </c>
      <c r="E21" s="915">
        <v>15497</v>
      </c>
      <c r="F21" s="916">
        <v>14321</v>
      </c>
      <c r="G21" s="916">
        <v>14538</v>
      </c>
      <c r="H21" s="482" t="s">
        <v>566</v>
      </c>
    </row>
    <row r="22" spans="1:10" ht="16.350000000000001" customHeight="1">
      <c r="A22" s="54"/>
      <c r="B22" s="65" t="s">
        <v>90</v>
      </c>
      <c r="C22" s="885">
        <v>15.73505716258728</v>
      </c>
      <c r="D22" s="885">
        <v>15.001638039968176</v>
      </c>
      <c r="E22" s="885">
        <v>14.211303382944967</v>
      </c>
      <c r="F22" s="885">
        <v>13.30997434848879</v>
      </c>
      <c r="G22" s="885">
        <v>13.374671107104085</v>
      </c>
      <c r="H22" s="482"/>
      <c r="I22" s="493"/>
    </row>
    <row r="23" spans="1:10" ht="16.350000000000001" customHeight="1">
      <c r="A23" s="55"/>
      <c r="B23" s="55"/>
      <c r="C23" s="315"/>
      <c r="D23" s="316"/>
      <c r="E23" s="316"/>
      <c r="F23" s="316"/>
      <c r="G23" s="316"/>
      <c r="H23" s="492"/>
    </row>
    <row r="24" spans="1:10" ht="35.1" customHeight="1">
      <c r="A24" s="95" t="s">
        <v>569</v>
      </c>
      <c r="B24" s="109"/>
      <c r="C24" s="109"/>
      <c r="D24" s="15"/>
      <c r="E24" s="15"/>
      <c r="F24" s="15"/>
      <c r="G24" s="15"/>
    </row>
    <row r="25" spans="1:10" ht="16.350000000000001" customHeight="1">
      <c r="A25" s="382" t="s">
        <v>143</v>
      </c>
      <c r="B25" s="20" t="s">
        <v>453</v>
      </c>
      <c r="C25" s="19">
        <v>2020</v>
      </c>
      <c r="D25" s="428">
        <v>2021</v>
      </c>
      <c r="E25" s="428">
        <v>2022</v>
      </c>
      <c r="F25" s="428">
        <v>2023</v>
      </c>
      <c r="G25" s="19">
        <v>2024</v>
      </c>
    </row>
    <row r="26" spans="1:10" ht="28.35" customHeight="1">
      <c r="A26" s="35" t="s">
        <v>163</v>
      </c>
      <c r="B26" s="32" t="s">
        <v>90</v>
      </c>
      <c r="C26" s="917">
        <v>6.7</v>
      </c>
      <c r="D26" s="908">
        <v>9.1</v>
      </c>
      <c r="E26" s="855">
        <v>9</v>
      </c>
      <c r="F26" s="855">
        <v>9.1999999999999993</v>
      </c>
      <c r="G26" s="855">
        <v>9.81</v>
      </c>
      <c r="H26" s="482" t="s">
        <v>570</v>
      </c>
      <c r="I26" s="482" t="s">
        <v>571</v>
      </c>
      <c r="J26" s="986" t="s">
        <v>572</v>
      </c>
    </row>
    <row r="27" spans="1:10" ht="16.350000000000001" customHeight="1">
      <c r="A27" s="54" t="s">
        <v>573</v>
      </c>
      <c r="B27" s="32" t="s">
        <v>90</v>
      </c>
      <c r="C27" s="917"/>
      <c r="D27" s="343">
        <v>7.6</v>
      </c>
      <c r="E27" s="343">
        <v>7.8</v>
      </c>
      <c r="F27" s="343">
        <v>7.1</v>
      </c>
      <c r="G27" s="918">
        <v>7.41</v>
      </c>
      <c r="H27" s="482" t="s">
        <v>570</v>
      </c>
      <c r="I27" s="482" t="s">
        <v>571</v>
      </c>
      <c r="J27" s="482" t="s">
        <v>27</v>
      </c>
    </row>
    <row r="28" spans="1:10" ht="16.350000000000001" customHeight="1">
      <c r="A28" s="54" t="s">
        <v>574</v>
      </c>
      <c r="B28" s="32" t="s">
        <v>90</v>
      </c>
      <c r="C28" s="917"/>
      <c r="D28" s="343">
        <v>11.6</v>
      </c>
      <c r="E28" s="832">
        <v>11</v>
      </c>
      <c r="F28" s="832">
        <v>12.6</v>
      </c>
      <c r="G28" s="918">
        <v>13.73</v>
      </c>
      <c r="H28" s="482" t="s">
        <v>570</v>
      </c>
      <c r="I28" s="482" t="s">
        <v>571</v>
      </c>
      <c r="J28" s="482" t="s">
        <v>27</v>
      </c>
    </row>
    <row r="29" spans="1:10" ht="16.350000000000001" customHeight="1">
      <c r="A29" s="54" t="s">
        <v>223</v>
      </c>
      <c r="B29" s="32" t="s">
        <v>90</v>
      </c>
      <c r="C29" s="919">
        <v>6.1</v>
      </c>
      <c r="D29" s="343">
        <v>8.8000000000000007</v>
      </c>
      <c r="E29" s="343">
        <v>8.1999999999999993</v>
      </c>
      <c r="F29" s="343">
        <v>8.6999999999999993</v>
      </c>
      <c r="G29" s="918">
        <v>9.6300000000000008</v>
      </c>
      <c r="H29" s="482" t="s">
        <v>570</v>
      </c>
      <c r="I29" s="482" t="s">
        <v>571</v>
      </c>
      <c r="J29" s="482" t="s">
        <v>27</v>
      </c>
    </row>
    <row r="30" spans="1:10" ht="16.350000000000001" customHeight="1">
      <c r="A30" s="54" t="s">
        <v>573</v>
      </c>
      <c r="B30" s="32" t="s">
        <v>90</v>
      </c>
      <c r="C30" s="919"/>
      <c r="D30" s="343">
        <v>7.1</v>
      </c>
      <c r="E30" s="343">
        <v>6.9</v>
      </c>
      <c r="F30" s="343">
        <v>6.4</v>
      </c>
      <c r="G30" s="918">
        <v>7.02</v>
      </c>
      <c r="H30" s="482" t="s">
        <v>570</v>
      </c>
      <c r="I30" s="482" t="s">
        <v>571</v>
      </c>
      <c r="J30" s="482" t="s">
        <v>27</v>
      </c>
    </row>
    <row r="31" spans="1:10" ht="16.350000000000001" customHeight="1">
      <c r="A31" s="54" t="s">
        <v>574</v>
      </c>
      <c r="B31" s="32" t="s">
        <v>90</v>
      </c>
      <c r="C31" s="919"/>
      <c r="D31" s="343">
        <v>11.3</v>
      </c>
      <c r="E31" s="343">
        <v>10.1</v>
      </c>
      <c r="F31" s="832">
        <v>12</v>
      </c>
      <c r="G31" s="918">
        <v>13.53</v>
      </c>
      <c r="H31" s="482" t="s">
        <v>570</v>
      </c>
      <c r="I31" s="482" t="s">
        <v>571</v>
      </c>
      <c r="J31" s="482" t="s">
        <v>27</v>
      </c>
    </row>
    <row r="32" spans="1:10" ht="16.350000000000001" customHeight="1">
      <c r="A32" s="54" t="s">
        <v>313</v>
      </c>
      <c r="B32" s="32" t="s">
        <v>90</v>
      </c>
      <c r="C32" s="919">
        <v>10.199999999999999</v>
      </c>
      <c r="D32" s="343">
        <v>10.7</v>
      </c>
      <c r="E32" s="343">
        <v>13.9</v>
      </c>
      <c r="F32" s="343">
        <v>12.5</v>
      </c>
      <c r="G32" s="918">
        <v>10.99</v>
      </c>
      <c r="H32" s="482" t="s">
        <v>570</v>
      </c>
      <c r="I32" s="482" t="s">
        <v>571</v>
      </c>
      <c r="J32" s="482" t="s">
        <v>27</v>
      </c>
    </row>
    <row r="33" spans="1:10" ht="16.350000000000001" customHeight="1">
      <c r="A33" s="188" t="s">
        <v>573</v>
      </c>
      <c r="B33" s="32" t="s">
        <v>90</v>
      </c>
      <c r="C33" s="919"/>
      <c r="D33" s="343">
        <v>9.6999999999999993</v>
      </c>
      <c r="E33" s="832">
        <v>12</v>
      </c>
      <c r="F33" s="832">
        <v>10.5</v>
      </c>
      <c r="G33" s="918">
        <v>9.3800000000000008</v>
      </c>
      <c r="H33" s="482" t="s">
        <v>570</v>
      </c>
      <c r="I33" s="482" t="s">
        <v>571</v>
      </c>
      <c r="J33" s="482" t="s">
        <v>27</v>
      </c>
    </row>
    <row r="34" spans="1:10" ht="16.350000000000001" customHeight="1">
      <c r="A34" s="188" t="s">
        <v>574</v>
      </c>
      <c r="B34" s="32" t="s">
        <v>90</v>
      </c>
      <c r="C34" s="919"/>
      <c r="D34" s="343">
        <v>13.5</v>
      </c>
      <c r="E34" s="343">
        <v>19.399999999999999</v>
      </c>
      <c r="F34" s="343">
        <v>18.3</v>
      </c>
      <c r="G34" s="918">
        <v>15.66</v>
      </c>
      <c r="H34" s="482" t="s">
        <v>570</v>
      </c>
      <c r="I34" s="482" t="s">
        <v>571</v>
      </c>
      <c r="J34" s="482" t="s">
        <v>27</v>
      </c>
    </row>
    <row r="35" spans="1:10" ht="16.350000000000001" customHeight="1">
      <c r="A35" s="404" t="s">
        <v>79</v>
      </c>
      <c r="B35" s="405"/>
      <c r="C35" s="653"/>
      <c r="D35" s="654"/>
      <c r="E35" s="654"/>
      <c r="F35" s="654"/>
      <c r="G35" s="654"/>
      <c r="H35" s="482"/>
      <c r="I35" s="482"/>
      <c r="J35" s="482"/>
    </row>
    <row r="36" spans="1:10" ht="34.35" customHeight="1">
      <c r="A36" s="1031" t="s">
        <v>824</v>
      </c>
      <c r="B36" s="1062"/>
      <c r="C36" s="1062"/>
      <c r="D36" s="1062"/>
      <c r="E36" s="1062"/>
      <c r="F36" s="1062"/>
      <c r="G36" s="1062"/>
      <c r="H36" s="482"/>
      <c r="I36" s="482"/>
      <c r="J36" s="482"/>
    </row>
    <row r="37" spans="1:10" ht="16.350000000000001" customHeight="1">
      <c r="A37" s="184"/>
      <c r="B37" s="482"/>
      <c r="C37" s="482"/>
      <c r="D37" s="482"/>
      <c r="E37" s="482"/>
      <c r="F37" s="482"/>
      <c r="G37" s="482"/>
      <c r="H37" s="482"/>
    </row>
    <row r="38" spans="1:10" ht="35.1" customHeight="1">
      <c r="A38" s="1061" t="s">
        <v>575</v>
      </c>
      <c r="B38" s="1061"/>
      <c r="C38" s="1061"/>
      <c r="D38" s="1061"/>
      <c r="E38" s="95"/>
      <c r="F38" s="95"/>
      <c r="G38" s="95"/>
      <c r="H38" s="482"/>
    </row>
    <row r="39" spans="1:10" ht="16.350000000000001" customHeight="1">
      <c r="A39" s="382" t="s">
        <v>143</v>
      </c>
      <c r="B39" s="20" t="s">
        <v>453</v>
      </c>
      <c r="C39" s="729">
        <v>2020</v>
      </c>
      <c r="D39" s="730">
        <v>2021</v>
      </c>
      <c r="E39" s="730">
        <v>2022</v>
      </c>
      <c r="F39" s="730">
        <v>2023</v>
      </c>
      <c r="G39" s="729">
        <v>2024</v>
      </c>
    </row>
    <row r="40" spans="1:10" ht="16.350000000000001" customHeight="1">
      <c r="A40" s="54" t="s">
        <v>163</v>
      </c>
      <c r="B40" s="186" t="s">
        <v>494</v>
      </c>
      <c r="C40" s="402">
        <f>C41+C42</f>
        <v>13295</v>
      </c>
      <c r="D40" s="402">
        <f>D41+D42</f>
        <v>18878</v>
      </c>
      <c r="E40" s="402">
        <f>E41+E42</f>
        <v>22028</v>
      </c>
      <c r="F40" s="402">
        <f>F41+F42</f>
        <v>18621</v>
      </c>
      <c r="G40" s="402">
        <f>G41+G42</f>
        <v>19046</v>
      </c>
      <c r="H40" s="465" t="s">
        <v>570</v>
      </c>
      <c r="I40" s="110"/>
      <c r="J40" s="110"/>
    </row>
    <row r="41" spans="1:10" ht="16.350000000000001" customHeight="1">
      <c r="A41" s="401" t="s">
        <v>576</v>
      </c>
      <c r="B41" s="186" t="s">
        <v>494</v>
      </c>
      <c r="C41" s="403">
        <v>6468</v>
      </c>
      <c r="D41" s="403">
        <v>9313</v>
      </c>
      <c r="E41" s="400">
        <v>11880</v>
      </c>
      <c r="F41" s="400">
        <v>10390</v>
      </c>
      <c r="G41" s="400">
        <f>G46+G49</f>
        <v>10452</v>
      </c>
      <c r="H41" s="465" t="s">
        <v>570</v>
      </c>
      <c r="I41" s="110"/>
      <c r="J41" s="110"/>
    </row>
    <row r="42" spans="1:10" ht="16.350000000000001" customHeight="1">
      <c r="A42" s="401" t="s">
        <v>577</v>
      </c>
      <c r="B42" s="186" t="s">
        <v>494</v>
      </c>
      <c r="C42" s="403">
        <v>6827</v>
      </c>
      <c r="D42" s="403">
        <v>9565</v>
      </c>
      <c r="E42" s="400">
        <v>10148</v>
      </c>
      <c r="F42" s="400">
        <v>8231</v>
      </c>
      <c r="G42" s="400">
        <f>G47+G50</f>
        <v>8594</v>
      </c>
      <c r="H42" s="465" t="s">
        <v>570</v>
      </c>
      <c r="I42" s="110"/>
      <c r="J42" s="110"/>
    </row>
    <row r="43" spans="1:10" ht="33" customHeight="1">
      <c r="A43" s="205" t="s">
        <v>578</v>
      </c>
      <c r="B43" s="94" t="s">
        <v>90</v>
      </c>
      <c r="C43" s="403">
        <f t="shared" ref="C43:G43" si="0">C41/C40*100</f>
        <v>48.64986837156826</v>
      </c>
      <c r="D43" s="403">
        <f t="shared" si="0"/>
        <v>49.332556414874453</v>
      </c>
      <c r="E43" s="403">
        <f t="shared" si="0"/>
        <v>53.931360087161792</v>
      </c>
      <c r="F43" s="403">
        <f t="shared" si="0"/>
        <v>55.797218194511579</v>
      </c>
      <c r="G43" s="403">
        <f t="shared" si="0"/>
        <v>54.877664601491126</v>
      </c>
      <c r="H43" s="465" t="s">
        <v>570</v>
      </c>
      <c r="I43" s="110"/>
      <c r="J43" s="110"/>
    </row>
    <row r="44" spans="1:10" ht="31.35" customHeight="1">
      <c r="A44" s="205" t="s">
        <v>579</v>
      </c>
      <c r="B44" s="94" t="s">
        <v>90</v>
      </c>
      <c r="C44" s="403">
        <f t="shared" ref="C44:G44" si="1">C42/C40*100</f>
        <v>51.35013162843174</v>
      </c>
      <c r="D44" s="403">
        <f t="shared" si="1"/>
        <v>50.66744358512554</v>
      </c>
      <c r="E44" s="403">
        <f t="shared" si="1"/>
        <v>46.068639912838208</v>
      </c>
      <c r="F44" s="403">
        <f t="shared" si="1"/>
        <v>44.202781805488428</v>
      </c>
      <c r="G44" s="403">
        <f t="shared" si="1"/>
        <v>45.122335398508874</v>
      </c>
      <c r="H44" s="465" t="s">
        <v>570</v>
      </c>
      <c r="I44" s="110"/>
      <c r="J44" s="110"/>
    </row>
    <row r="45" spans="1:10" ht="16.350000000000001" customHeight="1">
      <c r="A45" s="401" t="s">
        <v>102</v>
      </c>
      <c r="B45" s="186" t="s">
        <v>494</v>
      </c>
      <c r="C45" s="402">
        <f>C46+C47</f>
        <v>10878</v>
      </c>
      <c r="D45" s="402">
        <f>D46+D47</f>
        <v>16441</v>
      </c>
      <c r="E45" s="402">
        <f>E46+E47</f>
        <v>19008</v>
      </c>
      <c r="F45" s="402">
        <f>F46+F47</f>
        <v>15035</v>
      </c>
      <c r="G45" s="402">
        <f>G46+G47</f>
        <v>16263</v>
      </c>
      <c r="H45" s="465" t="s">
        <v>570</v>
      </c>
    </row>
    <row r="46" spans="1:10" ht="16.350000000000001" customHeight="1">
      <c r="A46" s="401" t="s">
        <v>576</v>
      </c>
      <c r="B46" s="186" t="s">
        <v>494</v>
      </c>
      <c r="C46" s="403">
        <v>4927</v>
      </c>
      <c r="D46" s="403">
        <v>7460</v>
      </c>
      <c r="E46" s="403">
        <v>9835</v>
      </c>
      <c r="F46" s="403">
        <v>7777</v>
      </c>
      <c r="G46" s="403">
        <v>8513</v>
      </c>
      <c r="H46" s="465" t="s">
        <v>570</v>
      </c>
      <c r="I46" s="598"/>
    </row>
    <row r="47" spans="1:10" ht="16.350000000000001" customHeight="1">
      <c r="A47" s="401" t="s">
        <v>577</v>
      </c>
      <c r="B47" s="186" t="s">
        <v>494</v>
      </c>
      <c r="C47" s="403">
        <v>5951</v>
      </c>
      <c r="D47" s="403">
        <v>8981</v>
      </c>
      <c r="E47" s="403">
        <v>9173</v>
      </c>
      <c r="F47" s="403">
        <v>7258</v>
      </c>
      <c r="G47" s="403">
        <v>7750</v>
      </c>
      <c r="H47" s="465" t="s">
        <v>570</v>
      </c>
      <c r="I47" s="598"/>
    </row>
    <row r="48" spans="1:10" ht="16.350000000000001" customHeight="1">
      <c r="A48" s="401" t="s">
        <v>103</v>
      </c>
      <c r="B48" s="186" t="s">
        <v>494</v>
      </c>
      <c r="C48" s="402">
        <f>C49+C50</f>
        <v>2417</v>
      </c>
      <c r="D48" s="402">
        <f>D49+D50</f>
        <v>2437</v>
      </c>
      <c r="E48" s="402">
        <f>E49+E50</f>
        <v>3020</v>
      </c>
      <c r="F48" s="402">
        <f>F49+F50</f>
        <v>3586</v>
      </c>
      <c r="G48" s="402">
        <f>G49+G50</f>
        <v>2783</v>
      </c>
      <c r="H48" s="465" t="s">
        <v>570</v>
      </c>
    </row>
    <row r="49" spans="1:10" ht="16.350000000000001" customHeight="1">
      <c r="A49" s="401" t="s">
        <v>576</v>
      </c>
      <c r="B49" s="186" t="s">
        <v>494</v>
      </c>
      <c r="C49" s="403">
        <v>1541</v>
      </c>
      <c r="D49" s="403">
        <v>1853</v>
      </c>
      <c r="E49" s="403">
        <v>2045</v>
      </c>
      <c r="F49" s="403">
        <v>2613</v>
      </c>
      <c r="G49" s="403">
        <v>1939</v>
      </c>
      <c r="H49" s="465" t="s">
        <v>570</v>
      </c>
    </row>
    <row r="50" spans="1:10" ht="16.350000000000001" customHeight="1">
      <c r="A50" s="401" t="s">
        <v>577</v>
      </c>
      <c r="B50" s="186" t="s">
        <v>494</v>
      </c>
      <c r="C50" s="403">
        <v>876</v>
      </c>
      <c r="D50" s="403">
        <v>584</v>
      </c>
      <c r="E50" s="403">
        <v>975</v>
      </c>
      <c r="F50" s="403">
        <v>973</v>
      </c>
      <c r="G50" s="403">
        <v>844</v>
      </c>
      <c r="H50" s="465" t="s">
        <v>570</v>
      </c>
      <c r="I50" s="598"/>
    </row>
    <row r="51" spans="1:10" ht="16.350000000000001" customHeight="1">
      <c r="A51" s="106"/>
      <c r="B51" s="106"/>
      <c r="C51" s="106"/>
      <c r="D51" s="106"/>
      <c r="E51" s="106"/>
      <c r="F51" s="106"/>
      <c r="G51" s="106"/>
      <c r="H51" s="463"/>
    </row>
    <row r="52" spans="1:10" ht="35.1" customHeight="1">
      <c r="A52" s="112" t="s">
        <v>580</v>
      </c>
      <c r="B52" s="373"/>
      <c r="C52" s="373"/>
      <c r="D52" s="373"/>
      <c r="E52" s="15"/>
      <c r="F52" s="15"/>
      <c r="G52" s="15"/>
      <c r="H52" s="533"/>
    </row>
    <row r="53" spans="1:10">
      <c r="A53" s="382" t="s">
        <v>143</v>
      </c>
      <c r="B53" s="20" t="s">
        <v>453</v>
      </c>
      <c r="C53" s="426">
        <v>2020</v>
      </c>
      <c r="D53" s="426">
        <v>2021</v>
      </c>
      <c r="E53" s="426">
        <v>2022</v>
      </c>
      <c r="F53" s="480">
        <v>2023</v>
      </c>
      <c r="G53" s="426">
        <v>2024</v>
      </c>
      <c r="H53" s="465"/>
    </row>
    <row r="54" spans="1:10">
      <c r="A54" s="54" t="s">
        <v>581</v>
      </c>
      <c r="B54" s="20"/>
      <c r="C54" s="723"/>
      <c r="D54" s="723"/>
      <c r="E54" s="723"/>
      <c r="F54" s="723"/>
      <c r="G54" s="723"/>
      <c r="H54" s="465"/>
    </row>
    <row r="55" spans="1:10" ht="16.350000000000001" customHeight="1">
      <c r="A55" s="66" t="s">
        <v>573</v>
      </c>
      <c r="B55" s="186" t="s">
        <v>494</v>
      </c>
      <c r="C55" s="920">
        <v>61183</v>
      </c>
      <c r="D55" s="920">
        <v>63034</v>
      </c>
      <c r="E55" s="920">
        <v>64393</v>
      </c>
      <c r="F55" s="921">
        <v>64062</v>
      </c>
      <c r="G55" s="921">
        <v>65384</v>
      </c>
      <c r="H55" s="465" t="s">
        <v>566</v>
      </c>
      <c r="I55" s="464" t="s">
        <v>582</v>
      </c>
      <c r="J55" s="478" t="s">
        <v>27</v>
      </c>
    </row>
    <row r="56" spans="1:10" ht="16.350000000000001" customHeight="1">
      <c r="A56" s="66" t="s">
        <v>574</v>
      </c>
      <c r="B56" s="186" t="s">
        <v>494</v>
      </c>
      <c r="C56" s="920">
        <v>43081</v>
      </c>
      <c r="D56" s="920">
        <v>43801</v>
      </c>
      <c r="E56" s="920">
        <v>44654</v>
      </c>
      <c r="F56" s="921">
        <v>43534</v>
      </c>
      <c r="G56" s="921">
        <v>43313</v>
      </c>
      <c r="H56" s="465" t="s">
        <v>566</v>
      </c>
      <c r="I56" s="464" t="s">
        <v>582</v>
      </c>
      <c r="J56" s="478" t="s">
        <v>27</v>
      </c>
    </row>
    <row r="57" spans="1:10" ht="16.350000000000001" customHeight="1">
      <c r="A57" s="742" t="s">
        <v>583</v>
      </c>
      <c r="B57" s="147"/>
      <c r="C57" s="921"/>
      <c r="D57" s="922"/>
      <c r="E57" s="923"/>
      <c r="F57" s="923"/>
      <c r="G57" s="923"/>
      <c r="H57" s="465"/>
      <c r="J57" s="110"/>
    </row>
    <row r="58" spans="1:10" ht="16.350000000000001" customHeight="1">
      <c r="A58" s="66" t="s">
        <v>573</v>
      </c>
      <c r="B58" s="59" t="s">
        <v>90</v>
      </c>
      <c r="C58" s="823">
        <v>58.680848615054096</v>
      </c>
      <c r="D58" s="823">
        <v>59.00126363083259</v>
      </c>
      <c r="E58" s="823">
        <v>59.050684567204968</v>
      </c>
      <c r="F58" s="823">
        <v>59.539388081341315</v>
      </c>
      <c r="G58" s="823">
        <v>60.15198071721651</v>
      </c>
      <c r="H58" s="465" t="s">
        <v>584</v>
      </c>
      <c r="I58" s="464" t="s">
        <v>582</v>
      </c>
      <c r="J58" s="110"/>
    </row>
    <row r="59" spans="1:10" ht="16.350000000000001" customHeight="1">
      <c r="A59" s="66" t="s">
        <v>574</v>
      </c>
      <c r="B59" s="59" t="s">
        <v>90</v>
      </c>
      <c r="C59" s="823">
        <v>41.319151384945904</v>
      </c>
      <c r="D59" s="823">
        <v>40.99873636916741</v>
      </c>
      <c r="E59" s="823">
        <v>40.949315432795039</v>
      </c>
      <c r="F59" s="823">
        <v>40.460611918658685</v>
      </c>
      <c r="G59" s="823">
        <v>39.847099302655067</v>
      </c>
      <c r="H59" s="465" t="s">
        <v>584</v>
      </c>
      <c r="I59" s="464" t="s">
        <v>582</v>
      </c>
      <c r="J59" s="110"/>
    </row>
    <row r="60" spans="1:10" ht="16.350000000000001" customHeight="1">
      <c r="A60" s="66" t="s">
        <v>585</v>
      </c>
      <c r="B60" s="59"/>
      <c r="C60" s="823"/>
      <c r="D60" s="826"/>
      <c r="E60" s="826"/>
      <c r="F60" s="823"/>
      <c r="G60" s="823"/>
      <c r="H60" s="465"/>
      <c r="I60" s="464"/>
      <c r="J60" s="110"/>
    </row>
    <row r="61" spans="1:10" ht="16.350000000000001" customHeight="1">
      <c r="A61" s="66" t="s">
        <v>573</v>
      </c>
      <c r="B61" s="59" t="s">
        <v>90</v>
      </c>
      <c r="C61" s="823"/>
      <c r="D61" s="826"/>
      <c r="E61" s="823">
        <v>57</v>
      </c>
      <c r="F61" s="823">
        <v>58</v>
      </c>
      <c r="G61" s="823">
        <v>58</v>
      </c>
      <c r="H61" s="465"/>
      <c r="I61" s="464"/>
      <c r="J61" s="110"/>
    </row>
    <row r="62" spans="1:10" ht="16.350000000000001" customHeight="1">
      <c r="A62" s="66" t="s">
        <v>574</v>
      </c>
      <c r="B62" s="59" t="s">
        <v>90</v>
      </c>
      <c r="C62" s="823"/>
      <c r="D62" s="826"/>
      <c r="E62" s="823">
        <v>43</v>
      </c>
      <c r="F62" s="823">
        <v>42</v>
      </c>
      <c r="G62" s="823">
        <v>42</v>
      </c>
      <c r="H62" s="465"/>
      <c r="I62" s="464"/>
      <c r="J62" s="110"/>
    </row>
    <row r="63" spans="1:10" ht="16.350000000000001" customHeight="1">
      <c r="A63" s="66" t="s">
        <v>586</v>
      </c>
      <c r="B63" s="59"/>
      <c r="C63" s="823"/>
      <c r="D63" s="826"/>
      <c r="E63" s="823"/>
      <c r="F63" s="823"/>
      <c r="G63" s="823"/>
      <c r="H63" s="465"/>
      <c r="I63" s="464"/>
      <c r="J63" s="110"/>
    </row>
    <row r="64" spans="1:10" ht="16.350000000000001" customHeight="1">
      <c r="A64" s="521" t="s">
        <v>573</v>
      </c>
      <c r="B64" s="59" t="s">
        <v>90</v>
      </c>
      <c r="C64" s="823"/>
      <c r="D64" s="826"/>
      <c r="E64" s="823">
        <v>72</v>
      </c>
      <c r="F64" s="823">
        <v>71</v>
      </c>
      <c r="G64" s="823">
        <v>72</v>
      </c>
      <c r="H64" s="465"/>
      <c r="I64" s="464"/>
      <c r="J64" s="110"/>
    </row>
    <row r="65" spans="1:14" ht="16.350000000000001" customHeight="1">
      <c r="A65" s="522" t="s">
        <v>574</v>
      </c>
      <c r="B65" s="59" t="s">
        <v>90</v>
      </c>
      <c r="C65" s="823"/>
      <c r="D65" s="826"/>
      <c r="E65" s="823">
        <v>28</v>
      </c>
      <c r="F65" s="823">
        <v>29</v>
      </c>
      <c r="G65" s="823">
        <v>28</v>
      </c>
      <c r="H65" s="465"/>
      <c r="I65" s="464"/>
      <c r="J65" s="110"/>
    </row>
    <row r="66" spans="1:14" ht="16.350000000000001" customHeight="1">
      <c r="A66" s="464"/>
      <c r="B66" s="464"/>
      <c r="C66" s="464"/>
      <c r="D66" s="464"/>
      <c r="E66" s="464"/>
      <c r="F66" s="464"/>
      <c r="G66" s="464"/>
      <c r="H66" s="465"/>
      <c r="I66" s="464"/>
      <c r="J66" s="110"/>
    </row>
    <row r="67" spans="1:14" ht="35.1" customHeight="1">
      <c r="A67" s="112" t="s">
        <v>587</v>
      </c>
      <c r="B67" s="750"/>
      <c r="C67" s="751"/>
      <c r="D67" s="752"/>
      <c r="E67" s="752"/>
      <c r="F67" s="751"/>
      <c r="G67" s="751"/>
      <c r="H67" s="465"/>
      <c r="I67" s="464"/>
      <c r="J67" s="110"/>
    </row>
    <row r="68" spans="1:14">
      <c r="A68" s="382" t="s">
        <v>143</v>
      </c>
      <c r="B68" s="747" t="s">
        <v>453</v>
      </c>
      <c r="C68" s="748">
        <v>2020</v>
      </c>
      <c r="D68" s="749">
        <v>2021</v>
      </c>
      <c r="E68" s="749">
        <v>2022</v>
      </c>
      <c r="F68" s="749">
        <v>2023</v>
      </c>
      <c r="G68" s="749">
        <v>2024</v>
      </c>
      <c r="H68" s="482"/>
    </row>
    <row r="69" spans="1:14" ht="16.350000000000001" customHeight="1">
      <c r="A69" s="520" t="s">
        <v>588</v>
      </c>
      <c r="B69" s="186" t="s">
        <v>494</v>
      </c>
      <c r="C69" s="912">
        <v>103972</v>
      </c>
      <c r="D69" s="912">
        <v>106500</v>
      </c>
      <c r="E69" s="884">
        <v>108731</v>
      </c>
      <c r="F69" s="884">
        <v>107252</v>
      </c>
      <c r="G69" s="884">
        <v>108305</v>
      </c>
      <c r="H69" s="465" t="s">
        <v>566</v>
      </c>
      <c r="I69" s="576"/>
      <c r="J69" s="110"/>
    </row>
    <row r="70" spans="1:14" ht="16.350000000000001" customHeight="1">
      <c r="A70" s="520" t="s">
        <v>589</v>
      </c>
      <c r="B70" s="186" t="s">
        <v>494</v>
      </c>
      <c r="C70" s="921">
        <v>292</v>
      </c>
      <c r="D70" s="920">
        <v>335</v>
      </c>
      <c r="E70" s="37">
        <v>316</v>
      </c>
      <c r="F70" s="37">
        <v>344</v>
      </c>
      <c r="G70" s="37">
        <v>393</v>
      </c>
      <c r="H70" s="465" t="s">
        <v>566</v>
      </c>
      <c r="I70" s="576"/>
      <c r="J70" s="110"/>
      <c r="N70" s="8"/>
    </row>
    <row r="71" spans="1:14" ht="20.100000000000001" customHeight="1">
      <c r="A71" s="277" t="s">
        <v>590</v>
      </c>
      <c r="B71" s="147"/>
      <c r="C71" s="921"/>
      <c r="D71" s="922"/>
      <c r="E71" s="923"/>
      <c r="F71" s="923"/>
      <c r="G71" s="923"/>
      <c r="H71" s="494"/>
      <c r="I71" s="605"/>
      <c r="N71" s="8"/>
    </row>
    <row r="72" spans="1:14" ht="16.350000000000001" customHeight="1">
      <c r="A72" s="69" t="s">
        <v>591</v>
      </c>
      <c r="B72" s="59" t="s">
        <v>90</v>
      </c>
      <c r="C72" s="924">
        <v>99.719941686488141</v>
      </c>
      <c r="D72" s="924">
        <v>99.68643234894931</v>
      </c>
      <c r="E72" s="924">
        <v>99.710216695553285</v>
      </c>
      <c r="F72" s="924">
        <v>99.68028551247258</v>
      </c>
      <c r="G72" s="924">
        <v>99.638447809527321</v>
      </c>
      <c r="H72" s="465" t="s">
        <v>566</v>
      </c>
      <c r="I72" s="576"/>
      <c r="J72" s="110"/>
      <c r="N72" s="8"/>
    </row>
    <row r="73" spans="1:14" ht="16.350000000000001" customHeight="1">
      <c r="A73" s="69" t="s">
        <v>592</v>
      </c>
      <c r="B73" s="59" t="s">
        <v>90</v>
      </c>
      <c r="C73" s="925">
        <v>0.28005831351185456</v>
      </c>
      <c r="D73" s="925">
        <v>0.31356765105068563</v>
      </c>
      <c r="E73" s="925">
        <v>0.28978330444670647</v>
      </c>
      <c r="F73" s="925">
        <v>0.31971448752741738</v>
      </c>
      <c r="G73" s="925">
        <v>0.36155219047268583</v>
      </c>
      <c r="H73" s="465" t="s">
        <v>566</v>
      </c>
      <c r="I73" s="576"/>
      <c r="J73" s="110"/>
      <c r="N73" s="8"/>
    </row>
    <row r="74" spans="1:14" ht="16.350000000000001" customHeight="1">
      <c r="A74" s="277" t="s">
        <v>593</v>
      </c>
      <c r="B74" s="59"/>
      <c r="C74" s="925"/>
      <c r="D74" s="925"/>
      <c r="E74" s="925"/>
      <c r="F74" s="925"/>
      <c r="G74" s="925"/>
      <c r="H74" s="465"/>
      <c r="I74" s="576"/>
      <c r="J74" s="110"/>
      <c r="N74" s="8"/>
    </row>
    <row r="75" spans="1:14" ht="16.350000000000001" customHeight="1">
      <c r="A75" s="69" t="s">
        <v>591</v>
      </c>
      <c r="B75" s="59" t="s">
        <v>90</v>
      </c>
      <c r="C75" s="925"/>
      <c r="D75" s="925"/>
      <c r="E75" s="925">
        <v>99.7</v>
      </c>
      <c r="F75" s="925">
        <v>99.7</v>
      </c>
      <c r="G75" s="925">
        <v>99.6</v>
      </c>
      <c r="H75" s="465"/>
      <c r="I75" s="576"/>
      <c r="J75" s="110"/>
      <c r="N75" s="8"/>
    </row>
    <row r="76" spans="1:14" ht="16.350000000000001" customHeight="1">
      <c r="A76" s="69" t="s">
        <v>592</v>
      </c>
      <c r="B76" s="59" t="s">
        <v>90</v>
      </c>
      <c r="C76" s="925"/>
      <c r="D76" s="925"/>
      <c r="E76" s="925">
        <v>0.3</v>
      </c>
      <c r="F76" s="925">
        <v>0.3</v>
      </c>
      <c r="G76" s="925">
        <v>0.4</v>
      </c>
      <c r="H76" s="465"/>
      <c r="I76" s="576"/>
      <c r="J76" s="110"/>
      <c r="N76" s="8"/>
    </row>
    <row r="77" spans="1:14" ht="16.350000000000001" customHeight="1">
      <c r="A77" s="277" t="s">
        <v>594</v>
      </c>
      <c r="B77" s="59"/>
      <c r="C77" s="925"/>
      <c r="D77" s="925"/>
      <c r="E77" s="925"/>
      <c r="F77" s="925"/>
      <c r="G77" s="925"/>
      <c r="H77" s="465"/>
      <c r="I77" s="576"/>
      <c r="J77" s="110"/>
      <c r="N77" s="8"/>
    </row>
    <row r="78" spans="1:14" ht="16.350000000000001" customHeight="1">
      <c r="A78" s="521" t="s">
        <v>591</v>
      </c>
      <c r="B78" s="59" t="s">
        <v>90</v>
      </c>
      <c r="C78" s="925"/>
      <c r="D78" s="925"/>
      <c r="E78" s="925">
        <v>99.7</v>
      </c>
      <c r="F78" s="925">
        <v>99.5</v>
      </c>
      <c r="G78" s="925">
        <v>99.7</v>
      </c>
      <c r="H78" s="465"/>
      <c r="I78" s="576"/>
      <c r="J78" s="110"/>
      <c r="N78" s="8"/>
    </row>
    <row r="79" spans="1:14" ht="16.350000000000001" customHeight="1">
      <c r="A79" s="521" t="s">
        <v>592</v>
      </c>
      <c r="B79" s="59" t="s">
        <v>90</v>
      </c>
      <c r="C79" s="925"/>
      <c r="D79" s="925"/>
      <c r="E79" s="925">
        <v>0.3</v>
      </c>
      <c r="F79" s="925">
        <v>0.5</v>
      </c>
      <c r="G79" s="925">
        <v>0.3</v>
      </c>
      <c r="H79" s="465"/>
      <c r="I79" s="576"/>
      <c r="J79" s="110"/>
      <c r="N79" s="8"/>
    </row>
    <row r="80" spans="1:14" ht="16.350000000000001" customHeight="1">
      <c r="A80" s="755"/>
      <c r="B80" s="101"/>
      <c r="C80" s="756"/>
      <c r="D80" s="757"/>
      <c r="E80" s="757"/>
      <c r="F80" s="756"/>
      <c r="G80" s="756"/>
      <c r="H80" s="465"/>
      <c r="I80" s="576"/>
      <c r="J80" s="110"/>
      <c r="N80" s="8"/>
    </row>
    <row r="81" spans="1:14" ht="40.35" customHeight="1">
      <c r="A81" s="112" t="s">
        <v>595</v>
      </c>
      <c r="B81" s="753"/>
      <c r="C81" s="754"/>
      <c r="D81" s="758"/>
      <c r="E81" s="758"/>
      <c r="F81" s="759"/>
      <c r="G81" s="759"/>
      <c r="H81" s="465"/>
      <c r="I81" s="576"/>
      <c r="J81" s="110"/>
      <c r="N81" s="8"/>
    </row>
    <row r="82" spans="1:14">
      <c r="A82" s="382" t="s">
        <v>143</v>
      </c>
      <c r="B82" s="20" t="s">
        <v>453</v>
      </c>
      <c r="C82" s="427">
        <v>2020</v>
      </c>
      <c r="D82" s="428">
        <v>2021</v>
      </c>
      <c r="E82" s="749">
        <v>2022</v>
      </c>
      <c r="F82" s="749">
        <v>2023</v>
      </c>
      <c r="G82" s="749">
        <v>2024</v>
      </c>
      <c r="H82" s="482"/>
    </row>
    <row r="83" spans="1:14" ht="16.350000000000001" customHeight="1">
      <c r="A83" s="743" t="s">
        <v>596</v>
      </c>
      <c r="B83" s="186" t="s">
        <v>494</v>
      </c>
      <c r="C83" s="255">
        <v>96659</v>
      </c>
      <c r="D83" s="317">
        <v>98914</v>
      </c>
      <c r="E83" s="264">
        <v>100498</v>
      </c>
      <c r="F83" s="264">
        <v>99390</v>
      </c>
      <c r="G83" s="264">
        <f>G85+G87</f>
        <v>100751</v>
      </c>
      <c r="H83" s="465" t="s">
        <v>566</v>
      </c>
      <c r="I83" s="576"/>
      <c r="J83" s="110"/>
    </row>
    <row r="84" spans="1:14" ht="32.1" customHeight="1">
      <c r="A84" s="67" t="s">
        <v>597</v>
      </c>
      <c r="B84" s="59" t="s">
        <v>90</v>
      </c>
      <c r="C84" s="257">
        <f>C83/C18*100</f>
        <v>92.706015499117626</v>
      </c>
      <c r="D84" s="257">
        <f t="shared" ref="D84:G84" si="2">D83/D18*100</f>
        <v>92.585763092619459</v>
      </c>
      <c r="E84" s="257">
        <f t="shared" si="2"/>
        <v>92.160261171788321</v>
      </c>
      <c r="F84" s="257">
        <f t="shared" si="2"/>
        <v>92.373322428343059</v>
      </c>
      <c r="G84" s="257">
        <f t="shared" si="2"/>
        <v>92.68891791937294</v>
      </c>
      <c r="H84" s="465" t="s">
        <v>566</v>
      </c>
      <c r="I84" s="576"/>
      <c r="J84" s="110"/>
    </row>
    <row r="85" spans="1:14" ht="16.350000000000001" customHeight="1">
      <c r="A85" s="69" t="s">
        <v>598</v>
      </c>
      <c r="B85" s="186" t="s">
        <v>494</v>
      </c>
      <c r="C85" s="256">
        <v>57854</v>
      </c>
      <c r="D85" s="265">
        <v>59446</v>
      </c>
      <c r="E85" s="265">
        <v>60267</v>
      </c>
      <c r="F85" s="259">
        <v>59739</v>
      </c>
      <c r="G85" s="259">
        <v>60951</v>
      </c>
      <c r="H85" s="465" t="s">
        <v>566</v>
      </c>
      <c r="I85" s="464" t="s">
        <v>582</v>
      </c>
      <c r="J85" s="110"/>
    </row>
    <row r="86" spans="1:14" ht="16.350000000000001" customHeight="1">
      <c r="A86" s="69" t="s">
        <v>599</v>
      </c>
      <c r="B86" s="59" t="s">
        <v>90</v>
      </c>
      <c r="C86" s="260">
        <f>C85/C55*100</f>
        <v>94.558946112482218</v>
      </c>
      <c r="D86" s="280">
        <f>D85/D55*100</f>
        <v>94.307833867436614</v>
      </c>
      <c r="E86" s="280">
        <f>E85/E55*100</f>
        <v>93.592471231345016</v>
      </c>
      <c r="F86" s="260">
        <f>F85/F55*100</f>
        <v>93.25184977053479</v>
      </c>
      <c r="G86" s="260">
        <f>G85/G55*100</f>
        <v>93.220053835800812</v>
      </c>
      <c r="H86" s="465" t="s">
        <v>566</v>
      </c>
      <c r="I86" s="464" t="s">
        <v>582</v>
      </c>
      <c r="J86" s="110"/>
    </row>
    <row r="87" spans="1:14" ht="16.350000000000001" customHeight="1">
      <c r="A87" s="69" t="s">
        <v>600</v>
      </c>
      <c r="B87" s="186" t="s">
        <v>494</v>
      </c>
      <c r="C87" s="256">
        <v>38805</v>
      </c>
      <c r="D87" s="265">
        <v>39468</v>
      </c>
      <c r="E87" s="265">
        <v>40231</v>
      </c>
      <c r="F87" s="265">
        <v>39651</v>
      </c>
      <c r="G87" s="265">
        <v>39800</v>
      </c>
      <c r="H87" s="465" t="s">
        <v>566</v>
      </c>
      <c r="I87" s="464" t="s">
        <v>582</v>
      </c>
      <c r="J87" s="110"/>
    </row>
    <row r="88" spans="1:14" ht="16.350000000000001" customHeight="1">
      <c r="A88" s="69" t="s">
        <v>601</v>
      </c>
      <c r="B88" s="59" t="s">
        <v>90</v>
      </c>
      <c r="C88" s="260">
        <f>C87/C56*100</f>
        <v>90.074510805227362</v>
      </c>
      <c r="D88" s="280">
        <f>D87/D56*100</f>
        <v>90.107531791511605</v>
      </c>
      <c r="E88" s="280">
        <f>E87/E56*100</f>
        <v>90.094952299905941</v>
      </c>
      <c r="F88" s="280">
        <f>F87/F56*100</f>
        <v>91.080534754444798</v>
      </c>
      <c r="G88" s="280">
        <f>G87/G56*100</f>
        <v>91.889271119525318</v>
      </c>
      <c r="H88" s="465" t="s">
        <v>566</v>
      </c>
      <c r="I88" s="464" t="s">
        <v>582</v>
      </c>
      <c r="J88" s="110"/>
    </row>
    <row r="89" spans="1:14" ht="16.350000000000001" customHeight="1">
      <c r="A89" s="743" t="s">
        <v>602</v>
      </c>
      <c r="B89" s="186" t="s">
        <v>494</v>
      </c>
      <c r="C89" s="291">
        <v>7605</v>
      </c>
      <c r="D89" s="311">
        <v>7921</v>
      </c>
      <c r="E89" s="311">
        <v>8549</v>
      </c>
      <c r="F89" s="311">
        <v>8206</v>
      </c>
      <c r="G89" s="311">
        <f>G91+G93</f>
        <v>7947</v>
      </c>
      <c r="H89" s="465" t="s">
        <v>566</v>
      </c>
      <c r="I89" s="464" t="s">
        <v>582</v>
      </c>
      <c r="J89" s="110"/>
    </row>
    <row r="90" spans="1:14" ht="31.35" customHeight="1">
      <c r="A90" s="67" t="s">
        <v>603</v>
      </c>
      <c r="B90" s="59" t="s">
        <v>90</v>
      </c>
      <c r="C90" s="564">
        <f>C89/C18*100</f>
        <v>7.2939845008823747</v>
      </c>
      <c r="D90" s="564">
        <f t="shared" ref="D90:G90" si="3">D89/D18*100</f>
        <v>7.4142369073805403</v>
      </c>
      <c r="E90" s="564">
        <f t="shared" si="3"/>
        <v>7.8397388282116882</v>
      </c>
      <c r="F90" s="564">
        <f t="shared" si="3"/>
        <v>7.6266775716569395</v>
      </c>
      <c r="G90" s="564">
        <f t="shared" si="3"/>
        <v>7.3110820806270587</v>
      </c>
      <c r="H90" s="465" t="s">
        <v>566</v>
      </c>
      <c r="I90" s="464" t="s">
        <v>582</v>
      </c>
      <c r="J90" s="110"/>
    </row>
    <row r="91" spans="1:14" ht="16.350000000000001" customHeight="1">
      <c r="A91" s="69" t="s">
        <v>598</v>
      </c>
      <c r="B91" s="186" t="s">
        <v>494</v>
      </c>
      <c r="C91" s="256">
        <v>3329</v>
      </c>
      <c r="D91" s="318">
        <v>3588</v>
      </c>
      <c r="E91" s="265">
        <v>4126</v>
      </c>
      <c r="F91" s="265">
        <v>4323</v>
      </c>
      <c r="G91" s="265">
        <v>4433</v>
      </c>
      <c r="H91" s="465" t="s">
        <v>566</v>
      </c>
      <c r="I91" s="464" t="s">
        <v>582</v>
      </c>
      <c r="J91" s="110"/>
    </row>
    <row r="92" spans="1:14" ht="16.350000000000001" customHeight="1">
      <c r="A92" s="69" t="s">
        <v>599</v>
      </c>
      <c r="B92" s="59" t="s">
        <v>90</v>
      </c>
      <c r="C92" s="261">
        <f>C91/C55*100</f>
        <v>5.4410538875177741</v>
      </c>
      <c r="D92" s="319">
        <f>D91/D55*100</f>
        <v>5.6921661325633783</v>
      </c>
      <c r="E92" s="319">
        <f>E91/E55*100</f>
        <v>6.407528768654978</v>
      </c>
      <c r="F92" s="319">
        <f>F91/F55*100</f>
        <v>6.7481502294652049</v>
      </c>
      <c r="G92" s="319">
        <f>G91/G55*100</f>
        <v>6.7799461641991927</v>
      </c>
      <c r="H92" s="465" t="s">
        <v>566</v>
      </c>
      <c r="I92" s="464" t="s">
        <v>582</v>
      </c>
      <c r="J92" s="110"/>
    </row>
    <row r="93" spans="1:14" ht="16.350000000000001" customHeight="1">
      <c r="A93" s="69" t="s">
        <v>574</v>
      </c>
      <c r="B93" s="186" t="s">
        <v>494</v>
      </c>
      <c r="C93" s="258">
        <v>4276</v>
      </c>
      <c r="D93" s="265">
        <v>4333</v>
      </c>
      <c r="E93" s="265">
        <v>4423</v>
      </c>
      <c r="F93" s="265">
        <v>3883</v>
      </c>
      <c r="G93" s="265">
        <v>3514</v>
      </c>
      <c r="H93" s="465" t="s">
        <v>566</v>
      </c>
      <c r="I93" s="464" t="s">
        <v>582</v>
      </c>
      <c r="J93" s="110"/>
    </row>
    <row r="94" spans="1:14" ht="16.350000000000001" customHeight="1">
      <c r="A94" s="69" t="s">
        <v>601</v>
      </c>
      <c r="B94" s="59" t="s">
        <v>90</v>
      </c>
      <c r="C94" s="227">
        <f>C93/C56*100</f>
        <v>9.9254891947726378</v>
      </c>
      <c r="D94" s="320">
        <f>D93/D56*100</f>
        <v>9.8924682084883901</v>
      </c>
      <c r="E94" s="320">
        <f>E93/E56*100</f>
        <v>9.9050477000940571</v>
      </c>
      <c r="F94" s="320">
        <f>F93/F56*100</f>
        <v>8.9194652455551982</v>
      </c>
      <c r="G94" s="320">
        <f>G93/G56*100</f>
        <v>8.1130376561309525</v>
      </c>
      <c r="H94" s="465" t="s">
        <v>566</v>
      </c>
      <c r="I94" s="464" t="s">
        <v>582</v>
      </c>
      <c r="J94" s="110"/>
    </row>
    <row r="95" spans="1:14" ht="16.350000000000001" customHeight="1"/>
    <row r="96" spans="1:14" ht="35.1" customHeight="1">
      <c r="A96" s="95" t="s">
        <v>604</v>
      </c>
      <c r="B96" s="109"/>
      <c r="C96" s="109"/>
      <c r="D96" s="109"/>
      <c r="E96" s="109"/>
      <c r="F96" s="109"/>
      <c r="G96" s="109"/>
    </row>
    <row r="97" spans="1:10">
      <c r="A97" s="382" t="s">
        <v>143</v>
      </c>
      <c r="B97" s="20" t="s">
        <v>453</v>
      </c>
      <c r="C97" s="926">
        <v>2020</v>
      </c>
      <c r="D97" s="384">
        <v>2021</v>
      </c>
      <c r="E97" s="384">
        <v>2022</v>
      </c>
      <c r="F97" s="384">
        <v>2023</v>
      </c>
      <c r="G97" s="384">
        <v>2024</v>
      </c>
      <c r="H97" s="482"/>
    </row>
    <row r="98" spans="1:10">
      <c r="A98" s="14" t="s">
        <v>605</v>
      </c>
      <c r="B98" s="186" t="s">
        <v>494</v>
      </c>
      <c r="C98" s="927">
        <v>104264</v>
      </c>
      <c r="D98" s="927">
        <v>106835</v>
      </c>
      <c r="E98" s="927">
        <v>109047</v>
      </c>
      <c r="F98" s="927">
        <v>107596</v>
      </c>
      <c r="G98" s="928">
        <v>108698</v>
      </c>
      <c r="H98" s="493"/>
    </row>
    <row r="99" spans="1:10">
      <c r="A99" s="66" t="s">
        <v>265</v>
      </c>
      <c r="B99" s="186" t="s">
        <v>494</v>
      </c>
      <c r="C99" s="874">
        <v>12694</v>
      </c>
      <c r="D99" s="885">
        <v>12953</v>
      </c>
      <c r="E99" s="885">
        <v>12953</v>
      </c>
      <c r="F99" s="874">
        <v>12620</v>
      </c>
      <c r="G99" s="874">
        <v>12923</v>
      </c>
      <c r="H99" s="110"/>
      <c r="I99" s="110"/>
      <c r="J99" s="478" t="s">
        <v>27</v>
      </c>
    </row>
    <row r="100" spans="1:10">
      <c r="A100" s="66" t="s">
        <v>606</v>
      </c>
      <c r="B100" s="186" t="s">
        <v>494</v>
      </c>
      <c r="C100" s="874">
        <v>28319</v>
      </c>
      <c r="D100" s="885">
        <v>28793</v>
      </c>
      <c r="E100" s="885">
        <v>29710</v>
      </c>
      <c r="F100" s="874">
        <v>30309</v>
      </c>
      <c r="G100" s="874">
        <v>31787</v>
      </c>
      <c r="H100" s="110"/>
      <c r="I100" s="110"/>
      <c r="J100" s="478" t="s">
        <v>27</v>
      </c>
    </row>
    <row r="101" spans="1:10">
      <c r="A101" s="66" t="s">
        <v>268</v>
      </c>
      <c r="B101" s="186" t="s">
        <v>494</v>
      </c>
      <c r="C101" s="874">
        <v>63251</v>
      </c>
      <c r="D101" s="885">
        <v>65089</v>
      </c>
      <c r="E101" s="885">
        <v>66384</v>
      </c>
      <c r="F101" s="874">
        <v>64667</v>
      </c>
      <c r="G101" s="874">
        <v>63988</v>
      </c>
      <c r="H101" s="110"/>
      <c r="I101" s="110"/>
      <c r="J101" s="478" t="s">
        <v>27</v>
      </c>
    </row>
    <row r="102" spans="1:10">
      <c r="A102" s="14" t="s">
        <v>223</v>
      </c>
      <c r="B102" s="186" t="s">
        <v>494</v>
      </c>
      <c r="C102" s="884">
        <v>87858</v>
      </c>
      <c r="D102" s="927">
        <v>90808</v>
      </c>
      <c r="E102" s="927">
        <v>93550</v>
      </c>
      <c r="F102" s="928">
        <v>93275</v>
      </c>
      <c r="G102" s="928">
        <v>94160</v>
      </c>
      <c r="H102" s="110"/>
      <c r="I102" s="110"/>
      <c r="J102" s="478" t="s">
        <v>27</v>
      </c>
    </row>
    <row r="103" spans="1:10">
      <c r="A103" s="66" t="s">
        <v>265</v>
      </c>
      <c r="B103" s="186" t="s">
        <v>494</v>
      </c>
      <c r="C103" s="874">
        <v>10845</v>
      </c>
      <c r="D103" s="885">
        <v>11129</v>
      </c>
      <c r="E103" s="885">
        <v>11141</v>
      </c>
      <c r="F103" s="874">
        <v>10848</v>
      </c>
      <c r="G103" s="874">
        <v>11063</v>
      </c>
      <c r="H103" s="110"/>
      <c r="I103" s="110"/>
      <c r="J103" s="478" t="s">
        <v>27</v>
      </c>
    </row>
    <row r="104" spans="1:10">
      <c r="A104" s="66" t="s">
        <v>606</v>
      </c>
      <c r="B104" s="186" t="s">
        <v>494</v>
      </c>
      <c r="C104" s="874">
        <v>24141</v>
      </c>
      <c r="D104" s="885">
        <v>24559</v>
      </c>
      <c r="E104" s="885">
        <v>25493</v>
      </c>
      <c r="F104" s="874">
        <v>25991</v>
      </c>
      <c r="G104" s="874">
        <v>27178</v>
      </c>
      <c r="H104" s="110"/>
      <c r="I104" s="110"/>
      <c r="J104" s="478" t="s">
        <v>27</v>
      </c>
    </row>
    <row r="105" spans="1:10">
      <c r="A105" s="66" t="s">
        <v>268</v>
      </c>
      <c r="B105" s="186" t="s">
        <v>494</v>
      </c>
      <c r="C105" s="874">
        <v>52872</v>
      </c>
      <c r="D105" s="885">
        <v>55120</v>
      </c>
      <c r="E105" s="885">
        <v>56916</v>
      </c>
      <c r="F105" s="874">
        <v>56436</v>
      </c>
      <c r="G105" s="874">
        <v>55919</v>
      </c>
      <c r="H105" s="110"/>
      <c r="I105" s="110"/>
      <c r="J105" s="478" t="s">
        <v>27</v>
      </c>
    </row>
    <row r="106" spans="1:10">
      <c r="A106" s="66" t="s">
        <v>313</v>
      </c>
      <c r="B106" s="186" t="s">
        <v>494</v>
      </c>
      <c r="C106" s="929">
        <v>16406</v>
      </c>
      <c r="D106" s="927">
        <v>16027</v>
      </c>
      <c r="E106" s="927">
        <v>15497</v>
      </c>
      <c r="F106" s="928">
        <v>14321</v>
      </c>
      <c r="G106" s="928">
        <v>14538</v>
      </c>
      <c r="H106" s="110"/>
      <c r="I106" s="110"/>
    </row>
    <row r="107" spans="1:10">
      <c r="A107" s="521" t="s">
        <v>265</v>
      </c>
      <c r="B107" s="186" t="s">
        <v>494</v>
      </c>
      <c r="C107" s="874">
        <v>1849</v>
      </c>
      <c r="D107" s="885">
        <v>1824</v>
      </c>
      <c r="E107" s="885">
        <v>1812</v>
      </c>
      <c r="F107" s="874">
        <v>1772</v>
      </c>
      <c r="G107" s="874">
        <v>1860</v>
      </c>
      <c r="H107" s="110"/>
      <c r="I107" s="110"/>
    </row>
    <row r="108" spans="1:10">
      <c r="A108" s="522" t="s">
        <v>606</v>
      </c>
      <c r="B108" s="186" t="s">
        <v>494</v>
      </c>
      <c r="C108" s="874">
        <v>4178</v>
      </c>
      <c r="D108" s="885">
        <v>4234</v>
      </c>
      <c r="E108" s="885">
        <v>4217</v>
      </c>
      <c r="F108" s="874">
        <v>4318</v>
      </c>
      <c r="G108" s="874">
        <v>4609</v>
      </c>
      <c r="H108" s="110"/>
      <c r="I108" s="110"/>
    </row>
    <row r="109" spans="1:10">
      <c r="A109" s="521" t="s">
        <v>268</v>
      </c>
      <c r="B109" s="59" t="s">
        <v>494</v>
      </c>
      <c r="C109" s="874">
        <v>10379</v>
      </c>
      <c r="D109" s="885">
        <v>9969</v>
      </c>
      <c r="E109" s="885">
        <v>9468</v>
      </c>
      <c r="F109" s="874">
        <v>8231</v>
      </c>
      <c r="G109" s="874">
        <v>8069</v>
      </c>
      <c r="H109" s="110"/>
      <c r="I109" s="110"/>
    </row>
    <row r="110" spans="1:10">
      <c r="A110" s="760"/>
      <c r="B110" s="101"/>
      <c r="C110" s="170"/>
      <c r="D110" s="761"/>
      <c r="E110" s="761"/>
      <c r="F110" s="170"/>
      <c r="G110" s="170"/>
      <c r="H110" s="110"/>
      <c r="I110" s="110"/>
    </row>
    <row r="111" spans="1:10" ht="35.1" customHeight="1">
      <c r="A111" s="95" t="s">
        <v>607</v>
      </c>
      <c r="B111" s="753"/>
      <c r="C111" s="762"/>
      <c r="D111" s="763"/>
      <c r="E111" s="763"/>
      <c r="F111" s="764"/>
      <c r="G111" s="764"/>
      <c r="H111" s="110"/>
      <c r="I111" s="110"/>
    </row>
    <row r="112" spans="1:10">
      <c r="A112" s="382" t="s">
        <v>143</v>
      </c>
      <c r="B112" s="20" t="s">
        <v>453</v>
      </c>
      <c r="C112" s="427">
        <v>2020</v>
      </c>
      <c r="D112" s="749">
        <v>2021</v>
      </c>
      <c r="E112" s="749">
        <v>2022</v>
      </c>
      <c r="F112" s="749">
        <v>2023</v>
      </c>
      <c r="G112" s="749">
        <v>2024</v>
      </c>
      <c r="H112" s="482"/>
    </row>
    <row r="113" spans="1:10">
      <c r="A113" s="14" t="s">
        <v>608</v>
      </c>
      <c r="B113" s="115"/>
      <c r="C113" s="265"/>
      <c r="D113" s="321"/>
      <c r="E113" s="321"/>
      <c r="F113" s="571"/>
      <c r="G113" s="728"/>
      <c r="H113" s="110"/>
      <c r="I113" s="110"/>
      <c r="J113" s="478"/>
    </row>
    <row r="114" spans="1:10">
      <c r="A114" s="66" t="s">
        <v>609</v>
      </c>
      <c r="B114" s="186" t="s">
        <v>494</v>
      </c>
      <c r="C114" s="874">
        <v>36955</v>
      </c>
      <c r="D114" s="930">
        <v>36515</v>
      </c>
      <c r="E114" s="930">
        <v>35985</v>
      </c>
      <c r="F114" s="931">
        <v>33354</v>
      </c>
      <c r="G114" s="874">
        <v>31647</v>
      </c>
      <c r="H114" s="933" t="s">
        <v>584</v>
      </c>
      <c r="I114" s="110"/>
      <c r="J114" s="478" t="s">
        <v>27</v>
      </c>
    </row>
    <row r="115" spans="1:10">
      <c r="A115" s="66" t="s">
        <v>610</v>
      </c>
      <c r="B115" s="186" t="s">
        <v>494</v>
      </c>
      <c r="C115" s="874">
        <v>17962</v>
      </c>
      <c r="D115" s="930">
        <v>18694</v>
      </c>
      <c r="E115" s="930">
        <v>19774</v>
      </c>
      <c r="F115" s="931">
        <v>20011</v>
      </c>
      <c r="G115" s="874">
        <v>19930</v>
      </c>
      <c r="H115" s="933" t="s">
        <v>584</v>
      </c>
      <c r="I115" s="110"/>
      <c r="J115" s="478" t="s">
        <v>27</v>
      </c>
    </row>
    <row r="116" spans="1:10">
      <c r="A116" s="66" t="s">
        <v>611</v>
      </c>
      <c r="B116" s="186" t="s">
        <v>494</v>
      </c>
      <c r="C116" s="874">
        <v>30266</v>
      </c>
      <c r="D116" s="930">
        <v>31472</v>
      </c>
      <c r="E116" s="930">
        <v>32397</v>
      </c>
      <c r="F116" s="931">
        <v>32414</v>
      </c>
      <c r="G116" s="874">
        <v>33940</v>
      </c>
      <c r="H116" s="933" t="s">
        <v>584</v>
      </c>
      <c r="I116" s="110"/>
      <c r="J116" s="478" t="s">
        <v>27</v>
      </c>
    </row>
    <row r="117" spans="1:10">
      <c r="A117" s="66" t="s">
        <v>612</v>
      </c>
      <c r="B117" s="186" t="s">
        <v>494</v>
      </c>
      <c r="C117" s="874">
        <v>19081</v>
      </c>
      <c r="D117" s="930">
        <v>20154</v>
      </c>
      <c r="E117" s="930">
        <v>20891</v>
      </c>
      <c r="F117" s="931">
        <v>21817</v>
      </c>
      <c r="G117" s="874">
        <v>23181</v>
      </c>
      <c r="H117" s="933" t="s">
        <v>584</v>
      </c>
      <c r="I117" s="110"/>
      <c r="J117" s="478" t="s">
        <v>27</v>
      </c>
    </row>
    <row r="118" spans="1:10">
      <c r="A118" s="66" t="s">
        <v>223</v>
      </c>
      <c r="B118" s="186" t="s">
        <v>494</v>
      </c>
      <c r="C118" s="929">
        <v>87858</v>
      </c>
      <c r="D118" s="927">
        <v>90808</v>
      </c>
      <c r="E118" s="927">
        <v>93550</v>
      </c>
      <c r="F118" s="928">
        <v>93275</v>
      </c>
      <c r="G118" s="928">
        <v>94160</v>
      </c>
      <c r="H118" s="933" t="s">
        <v>584</v>
      </c>
      <c r="I118" s="110"/>
      <c r="J118" s="478" t="s">
        <v>27</v>
      </c>
    </row>
    <row r="119" spans="1:10">
      <c r="A119" s="66" t="s">
        <v>609</v>
      </c>
      <c r="B119" s="186" t="s">
        <v>494</v>
      </c>
      <c r="C119" s="874">
        <v>31615</v>
      </c>
      <c r="D119" s="885">
        <v>31468</v>
      </c>
      <c r="E119" s="885">
        <v>31339</v>
      </c>
      <c r="F119" s="874">
        <v>29191</v>
      </c>
      <c r="G119" s="874">
        <v>27697</v>
      </c>
      <c r="H119" s="933" t="s">
        <v>584</v>
      </c>
      <c r="I119" s="110"/>
      <c r="J119" s="478" t="s">
        <v>27</v>
      </c>
    </row>
    <row r="120" spans="1:10">
      <c r="A120" s="66" t="s">
        <v>610</v>
      </c>
      <c r="B120" s="186" t="s">
        <v>494</v>
      </c>
      <c r="C120" s="874">
        <v>15085</v>
      </c>
      <c r="D120" s="885">
        <v>15952</v>
      </c>
      <c r="E120" s="885">
        <v>17187</v>
      </c>
      <c r="F120" s="885">
        <v>17560</v>
      </c>
      <c r="G120" s="874">
        <v>17401</v>
      </c>
      <c r="H120" s="933" t="s">
        <v>584</v>
      </c>
      <c r="I120" s="110"/>
      <c r="J120" s="478" t="s">
        <v>27</v>
      </c>
    </row>
    <row r="121" spans="1:10">
      <c r="A121" s="66" t="s">
        <v>611</v>
      </c>
      <c r="B121" s="186" t="s">
        <v>494</v>
      </c>
      <c r="C121" s="874">
        <v>25136</v>
      </c>
      <c r="D121" s="885">
        <v>26349</v>
      </c>
      <c r="E121" s="885">
        <v>27386</v>
      </c>
      <c r="F121" s="885">
        <v>27889</v>
      </c>
      <c r="G121" s="874">
        <v>29264</v>
      </c>
      <c r="H121" s="933" t="s">
        <v>584</v>
      </c>
      <c r="I121" s="110"/>
      <c r="J121" s="478" t="s">
        <v>27</v>
      </c>
    </row>
    <row r="122" spans="1:10">
      <c r="A122" s="66" t="s">
        <v>612</v>
      </c>
      <c r="B122" s="186" t="s">
        <v>494</v>
      </c>
      <c r="C122" s="874">
        <v>16022</v>
      </c>
      <c r="D122" s="885">
        <v>17039</v>
      </c>
      <c r="E122" s="885">
        <v>17638</v>
      </c>
      <c r="F122" s="885">
        <v>18635</v>
      </c>
      <c r="G122" s="874">
        <v>19798</v>
      </c>
      <c r="H122" s="933" t="s">
        <v>584</v>
      </c>
      <c r="I122" s="110"/>
      <c r="J122" s="478" t="s">
        <v>27</v>
      </c>
    </row>
    <row r="123" spans="1:10">
      <c r="A123" s="66" t="s">
        <v>313</v>
      </c>
      <c r="B123" s="186" t="s">
        <v>494</v>
      </c>
      <c r="C123" s="932">
        <v>16406</v>
      </c>
      <c r="D123" s="883">
        <v>16027</v>
      </c>
      <c r="E123" s="883">
        <v>15497</v>
      </c>
      <c r="F123" s="884">
        <v>14321</v>
      </c>
      <c r="G123" s="884">
        <v>14538</v>
      </c>
      <c r="H123" s="933" t="s">
        <v>584</v>
      </c>
      <c r="I123" s="110"/>
      <c r="J123" s="478" t="s">
        <v>27</v>
      </c>
    </row>
    <row r="124" spans="1:10">
      <c r="A124" s="521" t="s">
        <v>609</v>
      </c>
      <c r="B124" s="186" t="s">
        <v>494</v>
      </c>
      <c r="C124" s="874">
        <v>5340</v>
      </c>
      <c r="D124" s="885">
        <v>5047</v>
      </c>
      <c r="E124" s="885">
        <v>4646</v>
      </c>
      <c r="F124" s="874">
        <v>4163</v>
      </c>
      <c r="G124" s="874">
        <v>3950</v>
      </c>
      <c r="H124" s="933" t="s">
        <v>584</v>
      </c>
      <c r="I124" s="110"/>
      <c r="J124" s="478" t="s">
        <v>27</v>
      </c>
    </row>
    <row r="125" spans="1:10">
      <c r="A125" s="522" t="s">
        <v>610</v>
      </c>
      <c r="B125" s="186" t="s">
        <v>494</v>
      </c>
      <c r="C125" s="874">
        <v>2877</v>
      </c>
      <c r="D125" s="885">
        <v>2742</v>
      </c>
      <c r="E125" s="885">
        <v>2587</v>
      </c>
      <c r="F125" s="874">
        <v>2451</v>
      </c>
      <c r="G125" s="874">
        <v>2529</v>
      </c>
      <c r="H125" s="933" t="s">
        <v>584</v>
      </c>
      <c r="I125" s="110"/>
      <c r="J125" s="478" t="s">
        <v>27</v>
      </c>
    </row>
    <row r="126" spans="1:10">
      <c r="A126" s="522" t="s">
        <v>611</v>
      </c>
      <c r="B126" s="186" t="s">
        <v>494</v>
      </c>
      <c r="C126" s="874">
        <v>5130</v>
      </c>
      <c r="D126" s="885">
        <v>5123</v>
      </c>
      <c r="E126" s="885">
        <v>5011</v>
      </c>
      <c r="F126" s="885">
        <v>4525</v>
      </c>
      <c r="G126" s="874">
        <v>4676</v>
      </c>
      <c r="H126" s="933" t="s">
        <v>584</v>
      </c>
      <c r="I126" s="110"/>
      <c r="J126" s="478" t="s">
        <v>27</v>
      </c>
    </row>
    <row r="127" spans="1:10">
      <c r="A127" s="522" t="s">
        <v>612</v>
      </c>
      <c r="B127" s="186" t="s">
        <v>494</v>
      </c>
      <c r="C127" s="874">
        <v>3059</v>
      </c>
      <c r="D127" s="874">
        <v>3115</v>
      </c>
      <c r="E127" s="874">
        <v>3253</v>
      </c>
      <c r="F127" s="874">
        <v>3182</v>
      </c>
      <c r="G127" s="874">
        <v>3383</v>
      </c>
      <c r="H127" s="933" t="s">
        <v>584</v>
      </c>
      <c r="I127" s="110"/>
      <c r="J127" s="478" t="s">
        <v>27</v>
      </c>
    </row>
    <row r="128" spans="1:10">
      <c r="A128" s="48"/>
      <c r="B128" s="48"/>
      <c r="H128" s="463"/>
    </row>
    <row r="129" spans="1:10" ht="35.1" customHeight="1">
      <c r="A129" s="95" t="s">
        <v>613</v>
      </c>
      <c r="B129" s="109"/>
      <c r="C129" s="109"/>
      <c r="D129" s="109"/>
      <c r="E129" s="109"/>
      <c r="F129" s="109"/>
      <c r="G129" s="109"/>
      <c r="H129" s="463"/>
    </row>
    <row r="130" spans="1:10">
      <c r="A130" s="382" t="s">
        <v>143</v>
      </c>
      <c r="B130" s="20" t="s">
        <v>453</v>
      </c>
      <c r="C130" s="210">
        <v>2020</v>
      </c>
      <c r="D130" s="426">
        <v>2021</v>
      </c>
      <c r="E130" s="480">
        <v>2022</v>
      </c>
      <c r="F130" s="480">
        <v>2023</v>
      </c>
      <c r="G130" s="426">
        <v>2024</v>
      </c>
      <c r="H130" s="463"/>
      <c r="I130" s="110"/>
      <c r="J130" s="110"/>
    </row>
    <row r="131" spans="1:10" ht="32.1" customHeight="1">
      <c r="A131" s="54" t="s">
        <v>614</v>
      </c>
      <c r="B131" s="186" t="s">
        <v>494</v>
      </c>
      <c r="C131" s="874">
        <v>36955</v>
      </c>
      <c r="D131" s="885">
        <v>36515</v>
      </c>
      <c r="E131" s="885">
        <v>35985</v>
      </c>
      <c r="F131" s="885">
        <v>33354</v>
      </c>
      <c r="G131" s="885">
        <v>31647</v>
      </c>
      <c r="H131" s="987" t="s">
        <v>841</v>
      </c>
      <c r="I131" s="464" t="s">
        <v>615</v>
      </c>
      <c r="J131" s="110"/>
    </row>
    <row r="132" spans="1:10" ht="32.1" customHeight="1">
      <c r="A132" s="52" t="s">
        <v>616</v>
      </c>
      <c r="B132" s="186" t="s">
        <v>494</v>
      </c>
      <c r="C132" s="874">
        <v>1317</v>
      </c>
      <c r="D132" s="885">
        <v>1351</v>
      </c>
      <c r="E132" s="885">
        <v>1436</v>
      </c>
      <c r="F132" s="885">
        <v>1594</v>
      </c>
      <c r="G132" s="885">
        <v>1595</v>
      </c>
      <c r="H132" s="987" t="s">
        <v>841</v>
      </c>
      <c r="I132" s="464" t="s">
        <v>615</v>
      </c>
      <c r="J132" s="110"/>
    </row>
    <row r="133" spans="1:10" ht="16.350000000000001" customHeight="1">
      <c r="A133" s="52" t="s">
        <v>617</v>
      </c>
      <c r="B133" s="186" t="s">
        <v>494</v>
      </c>
      <c r="C133" s="874">
        <v>7603</v>
      </c>
      <c r="D133" s="885">
        <v>10625</v>
      </c>
      <c r="E133" s="885">
        <v>11899</v>
      </c>
      <c r="F133" s="885">
        <v>9443</v>
      </c>
      <c r="G133" s="885">
        <v>9702</v>
      </c>
      <c r="H133" s="482" t="s">
        <v>570</v>
      </c>
      <c r="I133" s="464" t="s">
        <v>615</v>
      </c>
      <c r="J133" s="110"/>
    </row>
    <row r="134" spans="1:10" ht="16.350000000000001" customHeight="1">
      <c r="A134" s="52" t="s">
        <v>618</v>
      </c>
      <c r="B134" s="186" t="s">
        <v>494</v>
      </c>
      <c r="C134" s="874">
        <v>523</v>
      </c>
      <c r="D134" s="885">
        <v>661</v>
      </c>
      <c r="E134" s="885">
        <v>675</v>
      </c>
      <c r="F134" s="885">
        <v>675</v>
      </c>
      <c r="G134" s="885">
        <v>679</v>
      </c>
      <c r="H134" s="482" t="s">
        <v>570</v>
      </c>
      <c r="I134" s="464" t="s">
        <v>615</v>
      </c>
      <c r="J134" s="110"/>
    </row>
    <row r="135" spans="1:10" ht="25.5">
      <c r="A135" s="52" t="s">
        <v>619</v>
      </c>
      <c r="B135" s="186" t="s">
        <v>494</v>
      </c>
      <c r="C135" s="874">
        <v>325</v>
      </c>
      <c r="D135" s="885">
        <v>146</v>
      </c>
      <c r="E135" s="885">
        <v>136</v>
      </c>
      <c r="F135" s="885">
        <v>153</v>
      </c>
      <c r="G135" s="885">
        <v>170</v>
      </c>
      <c r="H135" s="110"/>
      <c r="I135" s="464" t="s">
        <v>615</v>
      </c>
      <c r="J135" s="110"/>
    </row>
    <row r="136" spans="1:10">
      <c r="A136" s="404" t="s">
        <v>79</v>
      </c>
      <c r="B136" s="164"/>
      <c r="C136" s="165"/>
      <c r="D136" s="166"/>
      <c r="E136" s="172"/>
      <c r="F136" s="172"/>
      <c r="G136" s="172"/>
    </row>
    <row r="137" spans="1:10" ht="55.5" customHeight="1">
      <c r="A137" s="1030" t="s">
        <v>620</v>
      </c>
      <c r="B137" s="1030"/>
      <c r="C137" s="1030"/>
      <c r="D137" s="1030"/>
      <c r="E137" s="1030"/>
      <c r="F137" s="1030"/>
      <c r="G137" s="1030"/>
      <c r="H137" s="463"/>
    </row>
    <row r="138" spans="1:10">
      <c r="A138" s="48"/>
      <c r="B138" s="48"/>
      <c r="H138" s="463"/>
    </row>
    <row r="139" spans="1:10" ht="35.1" customHeight="1">
      <c r="A139" s="95" t="s">
        <v>621</v>
      </c>
      <c r="B139" s="109"/>
      <c r="C139" s="109"/>
      <c r="D139" s="109"/>
      <c r="E139" s="109"/>
      <c r="F139" s="109"/>
      <c r="G139" s="109"/>
      <c r="H139" s="463"/>
    </row>
    <row r="140" spans="1:10" s="71" customFormat="1" ht="15">
      <c r="A140" s="382" t="s">
        <v>143</v>
      </c>
      <c r="B140" s="20" t="s">
        <v>453</v>
      </c>
      <c r="C140" s="429" t="s">
        <v>622</v>
      </c>
      <c r="D140" s="211">
        <v>2021</v>
      </c>
      <c r="E140" s="211">
        <v>2022</v>
      </c>
      <c r="F140" s="211">
        <v>2023</v>
      </c>
      <c r="G140" s="198">
        <v>2024</v>
      </c>
      <c r="H140" s="495"/>
    </row>
    <row r="141" spans="1:10" s="71" customFormat="1" ht="12.75">
      <c r="A141" s="70" t="s">
        <v>623</v>
      </c>
      <c r="C141" s="254"/>
      <c r="D141" s="228"/>
      <c r="E141" s="228"/>
      <c r="F141" s="228"/>
      <c r="G141" s="42"/>
      <c r="H141" s="469"/>
    </row>
    <row r="142" spans="1:10" s="71" customFormat="1" ht="12.75">
      <c r="A142" s="72" t="s">
        <v>624</v>
      </c>
      <c r="B142" s="59" t="s">
        <v>90</v>
      </c>
      <c r="C142" s="867">
        <v>84.3</v>
      </c>
      <c r="D142" s="839">
        <v>84.998361960031815</v>
      </c>
      <c r="E142" s="839">
        <v>85.8</v>
      </c>
      <c r="F142" s="840">
        <v>86.7</v>
      </c>
      <c r="G142" s="840">
        <v>86.63</v>
      </c>
      <c r="H142" s="465" t="s">
        <v>566</v>
      </c>
      <c r="I142" s="110"/>
      <c r="J142" s="110"/>
    </row>
    <row r="143" spans="1:10" s="71" customFormat="1" ht="12.75">
      <c r="A143" s="72" t="s">
        <v>625</v>
      </c>
      <c r="B143" s="43" t="s">
        <v>90</v>
      </c>
      <c r="C143" s="867">
        <v>10.4</v>
      </c>
      <c r="D143" s="839">
        <v>9.6999999999999993</v>
      </c>
      <c r="E143" s="839">
        <v>8.8000000000000007</v>
      </c>
      <c r="F143" s="840">
        <v>7.3</v>
      </c>
      <c r="G143" s="840">
        <v>7</v>
      </c>
      <c r="H143" s="465" t="s">
        <v>566</v>
      </c>
      <c r="I143" s="110"/>
      <c r="J143" s="110"/>
    </row>
    <row r="144" spans="1:10" s="71" customFormat="1" ht="12.75">
      <c r="A144" s="72" t="s">
        <v>626</v>
      </c>
      <c r="B144" s="43" t="s">
        <v>90</v>
      </c>
      <c r="C144" s="867">
        <v>2.8</v>
      </c>
      <c r="D144" s="839">
        <v>2.7</v>
      </c>
      <c r="E144" s="839">
        <v>2.7</v>
      </c>
      <c r="F144" s="840">
        <v>2.8</v>
      </c>
      <c r="G144" s="840">
        <v>2.98</v>
      </c>
      <c r="H144" s="465" t="s">
        <v>566</v>
      </c>
      <c r="I144" s="110"/>
      <c r="J144" s="110"/>
    </row>
    <row r="145" spans="1:11" s="71" customFormat="1" ht="12.75">
      <c r="A145" s="72" t="s">
        <v>627</v>
      </c>
      <c r="B145" s="43" t="s">
        <v>90</v>
      </c>
      <c r="C145" s="867">
        <v>2.4</v>
      </c>
      <c r="D145" s="839">
        <v>2.5</v>
      </c>
      <c r="E145" s="839">
        <v>2.5</v>
      </c>
      <c r="F145" s="839">
        <v>2.9</v>
      </c>
      <c r="G145" s="840">
        <v>3.09</v>
      </c>
      <c r="H145" s="465" t="s">
        <v>566</v>
      </c>
      <c r="I145" s="110"/>
      <c r="J145" s="110"/>
    </row>
    <row r="146" spans="1:11" s="71" customFormat="1" ht="12.75">
      <c r="A146" s="72" t="s">
        <v>628</v>
      </c>
      <c r="B146" s="43" t="s">
        <v>90</v>
      </c>
      <c r="C146" s="867">
        <v>0.1</v>
      </c>
      <c r="D146" s="839">
        <v>0.1</v>
      </c>
      <c r="E146" s="839">
        <v>0.2</v>
      </c>
      <c r="F146" s="839">
        <v>0.3</v>
      </c>
      <c r="G146" s="840">
        <v>0.31</v>
      </c>
      <c r="H146" s="465" t="s">
        <v>566</v>
      </c>
      <c r="I146" s="110"/>
      <c r="J146" s="110"/>
    </row>
    <row r="147" spans="1:11" s="71" customFormat="1">
      <c r="A147" s="796" t="s">
        <v>629</v>
      </c>
      <c r="B147" s="42"/>
      <c r="C147" s="867"/>
      <c r="D147" s="888"/>
      <c r="E147" s="888"/>
      <c r="F147" s="888"/>
      <c r="G147" s="888"/>
      <c r="H147" s="463"/>
      <c r="I147" s="789"/>
      <c r="J147" s="790"/>
      <c r="K147"/>
    </row>
    <row r="148" spans="1:11" s="71" customFormat="1" ht="16.350000000000001" customHeight="1">
      <c r="A148" s="322" t="s">
        <v>125</v>
      </c>
      <c r="B148" s="43" t="s">
        <v>90</v>
      </c>
      <c r="C148" s="867">
        <v>36</v>
      </c>
      <c r="D148" s="868">
        <v>38</v>
      </c>
      <c r="E148" s="37">
        <v>38</v>
      </c>
      <c r="F148" s="853">
        <v>39</v>
      </c>
      <c r="G148" s="853">
        <v>40</v>
      </c>
      <c r="H148" s="465" t="s">
        <v>566</v>
      </c>
      <c r="I148" s="110"/>
      <c r="J148" s="253"/>
    </row>
    <row r="149" spans="1:11" s="71" customFormat="1" ht="38.1" customHeight="1">
      <c r="A149" s="79" t="s">
        <v>630</v>
      </c>
      <c r="B149" s="43" t="s">
        <v>90</v>
      </c>
      <c r="C149" s="867">
        <v>35</v>
      </c>
      <c r="D149" s="868">
        <v>33</v>
      </c>
      <c r="E149" s="37">
        <v>33</v>
      </c>
      <c r="F149" s="853">
        <v>31.8</v>
      </c>
      <c r="G149" s="853">
        <v>30</v>
      </c>
      <c r="H149" s="465" t="s">
        <v>566</v>
      </c>
      <c r="I149" s="110"/>
      <c r="J149" s="253"/>
    </row>
    <row r="150" spans="1:11" s="71" customFormat="1" ht="16.350000000000001" customHeight="1">
      <c r="A150" s="322" t="s">
        <v>127</v>
      </c>
      <c r="B150" s="43" t="s">
        <v>90</v>
      </c>
      <c r="C150" s="867">
        <v>12</v>
      </c>
      <c r="D150" s="868">
        <v>12</v>
      </c>
      <c r="E150" s="37">
        <v>11</v>
      </c>
      <c r="F150" s="853">
        <v>11</v>
      </c>
      <c r="G150" s="853">
        <v>12</v>
      </c>
      <c r="H150" s="465" t="s">
        <v>566</v>
      </c>
      <c r="I150" s="110"/>
      <c r="J150" s="253"/>
    </row>
    <row r="151" spans="1:11" s="71" customFormat="1" ht="16.350000000000001" customHeight="1">
      <c r="A151" s="322" t="s">
        <v>126</v>
      </c>
      <c r="B151" s="43" t="s">
        <v>90</v>
      </c>
      <c r="C151" s="867">
        <v>12</v>
      </c>
      <c r="D151" s="868">
        <v>12</v>
      </c>
      <c r="E151" s="37">
        <v>12</v>
      </c>
      <c r="F151" s="853">
        <v>10.9</v>
      </c>
      <c r="G151" s="853">
        <v>11</v>
      </c>
      <c r="H151" s="465" t="s">
        <v>566</v>
      </c>
      <c r="I151" s="110"/>
      <c r="J151" s="253"/>
    </row>
    <row r="152" spans="1:11" s="71" customFormat="1" ht="16.350000000000001" customHeight="1">
      <c r="A152" s="322" t="s">
        <v>631</v>
      </c>
      <c r="B152" s="43" t="s">
        <v>90</v>
      </c>
      <c r="C152" s="867">
        <v>5</v>
      </c>
      <c r="D152" s="868">
        <v>5</v>
      </c>
      <c r="E152" s="37">
        <v>6</v>
      </c>
      <c r="F152" s="853">
        <v>6.6</v>
      </c>
      <c r="G152" s="853">
        <v>7</v>
      </c>
      <c r="H152" s="465" t="s">
        <v>566</v>
      </c>
      <c r="I152" s="110"/>
      <c r="J152" s="253"/>
    </row>
    <row r="153" spans="1:11">
      <c r="A153" s="993"/>
      <c r="B153" s="163"/>
      <c r="C153" s="167"/>
      <c r="D153" s="168"/>
      <c r="E153" s="108"/>
      <c r="F153" s="634"/>
      <c r="G153" s="634"/>
    </row>
    <row r="154" spans="1:11" ht="35.1" customHeight="1">
      <c r="A154" s="95" t="s">
        <v>632</v>
      </c>
      <c r="B154" s="456"/>
      <c r="C154" s="456"/>
      <c r="D154" s="456"/>
      <c r="E154" s="456"/>
      <c r="F154" s="456"/>
      <c r="G154" s="456"/>
      <c r="J154" s="464" t="s">
        <v>633</v>
      </c>
    </row>
    <row r="155" spans="1:11">
      <c r="A155" s="382" t="s">
        <v>143</v>
      </c>
      <c r="B155" s="20" t="s">
        <v>453</v>
      </c>
      <c r="C155" s="422" t="s">
        <v>622</v>
      </c>
      <c r="D155" s="934">
        <v>2021</v>
      </c>
      <c r="E155" s="422">
        <v>2022</v>
      </c>
      <c r="F155" s="422">
        <v>2023</v>
      </c>
      <c r="G155" s="422">
        <v>2024</v>
      </c>
      <c r="H155" s="495"/>
    </row>
    <row r="156" spans="1:11">
      <c r="A156" s="31" t="s">
        <v>634</v>
      </c>
      <c r="B156" s="156"/>
      <c r="C156" s="886"/>
      <c r="D156" s="935"/>
      <c r="E156" s="886"/>
      <c r="F156" s="886"/>
      <c r="G156" s="886"/>
      <c r="H156" s="495"/>
    </row>
    <row r="157" spans="1:11" ht="24" customHeight="1">
      <c r="A157" s="34" t="s">
        <v>635</v>
      </c>
      <c r="B157" s="32" t="s">
        <v>90</v>
      </c>
      <c r="C157" s="841">
        <v>2</v>
      </c>
      <c r="D157" s="868">
        <v>4</v>
      </c>
      <c r="E157" s="840">
        <v>2.1</v>
      </c>
      <c r="F157" s="840">
        <v>3.1</v>
      </c>
      <c r="G157" s="840">
        <v>3.2</v>
      </c>
      <c r="H157" s="483" t="s">
        <v>584</v>
      </c>
      <c r="I157" s="464" t="s">
        <v>636</v>
      </c>
      <c r="J157" s="446" t="s">
        <v>637</v>
      </c>
    </row>
    <row r="158" spans="1:11">
      <c r="A158" s="34" t="s">
        <v>638</v>
      </c>
      <c r="B158" s="32" t="s">
        <v>90</v>
      </c>
      <c r="C158" s="841">
        <v>18</v>
      </c>
      <c r="D158" s="868">
        <v>16</v>
      </c>
      <c r="E158" s="841">
        <v>17.100000000000001</v>
      </c>
      <c r="F158" s="841">
        <v>17.8</v>
      </c>
      <c r="G158" s="841">
        <v>17.3</v>
      </c>
      <c r="H158" s="483" t="s">
        <v>584</v>
      </c>
      <c r="I158" s="464" t="s">
        <v>636</v>
      </c>
      <c r="J158" s="446" t="s">
        <v>637</v>
      </c>
    </row>
    <row r="159" spans="1:11" ht="25.5">
      <c r="A159" s="34" t="s">
        <v>639</v>
      </c>
      <c r="B159" s="32" t="s">
        <v>90</v>
      </c>
      <c r="C159" s="841">
        <v>6.6</v>
      </c>
      <c r="D159" s="868">
        <v>4</v>
      </c>
      <c r="E159" s="841">
        <v>4.0999999999999996</v>
      </c>
      <c r="F159" s="841">
        <v>4</v>
      </c>
      <c r="G159" s="841">
        <v>13</v>
      </c>
      <c r="H159" s="483" t="s">
        <v>584</v>
      </c>
      <c r="I159" s="464" t="s">
        <v>636</v>
      </c>
      <c r="J159" s="446" t="s">
        <v>637</v>
      </c>
    </row>
    <row r="160" spans="1:11">
      <c r="A160" s="372" t="s">
        <v>640</v>
      </c>
      <c r="B160" s="32" t="s">
        <v>90</v>
      </c>
      <c r="C160" s="841">
        <v>26.7</v>
      </c>
      <c r="D160" s="868">
        <v>26</v>
      </c>
      <c r="E160" s="841">
        <v>25.7</v>
      </c>
      <c r="F160" s="841">
        <v>23.9</v>
      </c>
      <c r="G160" s="841">
        <v>23.7</v>
      </c>
      <c r="H160" s="483" t="s">
        <v>584</v>
      </c>
      <c r="I160" s="464" t="s">
        <v>636</v>
      </c>
      <c r="J160" s="446" t="s">
        <v>637</v>
      </c>
    </row>
    <row r="161" spans="1:10">
      <c r="H161" s="599"/>
    </row>
    <row r="162" spans="1:10" ht="16.350000000000001" customHeight="1">
      <c r="A162" s="95" t="s">
        <v>641</v>
      </c>
      <c r="B162" s="109"/>
      <c r="C162" s="149"/>
      <c r="D162" s="109"/>
      <c r="E162" s="109"/>
      <c r="F162" s="109"/>
      <c r="G162" s="109"/>
      <c r="H162" s="599"/>
    </row>
    <row r="163" spans="1:10" ht="23.25" customHeight="1">
      <c r="A163" s="95" t="s">
        <v>642</v>
      </c>
      <c r="B163" s="109"/>
      <c r="C163" s="109"/>
      <c r="D163" s="109"/>
      <c r="E163" s="109"/>
      <c r="F163" s="109"/>
      <c r="G163" s="109"/>
      <c r="H163" s="599"/>
    </row>
    <row r="164" spans="1:10">
      <c r="A164" s="382" t="s">
        <v>143</v>
      </c>
      <c r="B164" s="20" t="s">
        <v>453</v>
      </c>
      <c r="C164" s="422">
        <v>2020</v>
      </c>
      <c r="D164" s="422">
        <v>2021</v>
      </c>
      <c r="E164" s="422">
        <v>2022</v>
      </c>
      <c r="F164" s="422">
        <v>2023</v>
      </c>
      <c r="G164" s="422">
        <v>2024</v>
      </c>
      <c r="H164" s="495"/>
      <c r="I164" s="110"/>
      <c r="J164" s="110"/>
    </row>
    <row r="165" spans="1:10">
      <c r="A165" s="34" t="s">
        <v>643</v>
      </c>
      <c r="B165" s="186" t="s">
        <v>494</v>
      </c>
      <c r="C165" s="936">
        <v>88</v>
      </c>
      <c r="D165" s="936">
        <v>89</v>
      </c>
      <c r="E165" s="936">
        <v>82</v>
      </c>
      <c r="F165" s="936">
        <v>80</v>
      </c>
      <c r="G165" s="936">
        <v>82</v>
      </c>
      <c r="H165" s="600"/>
      <c r="I165" s="110"/>
      <c r="J165" s="110"/>
    </row>
    <row r="166" spans="1:10">
      <c r="A166" s="34" t="s">
        <v>644</v>
      </c>
      <c r="B166" s="186" t="s">
        <v>494</v>
      </c>
      <c r="C166" s="936">
        <v>31</v>
      </c>
      <c r="D166" s="936">
        <v>31</v>
      </c>
      <c r="E166" s="936">
        <v>29</v>
      </c>
      <c r="F166" s="936">
        <v>26</v>
      </c>
      <c r="G166" s="936">
        <v>24</v>
      </c>
      <c r="H166" s="483" t="s">
        <v>645</v>
      </c>
      <c r="I166" s="110"/>
      <c r="J166" s="110"/>
    </row>
    <row r="167" spans="1:10" ht="25.5">
      <c r="A167" s="35" t="s">
        <v>839</v>
      </c>
      <c r="B167" s="32" t="s">
        <v>90</v>
      </c>
      <c r="C167" s="937">
        <v>35.227272727272727</v>
      </c>
      <c r="D167" s="937">
        <v>34.831460674157306</v>
      </c>
      <c r="E167" s="937">
        <v>35.365853658536587</v>
      </c>
      <c r="F167" s="937">
        <v>33</v>
      </c>
      <c r="G167" s="937">
        <v>29</v>
      </c>
      <c r="H167" s="483" t="s">
        <v>645</v>
      </c>
      <c r="I167" s="110"/>
      <c r="J167" s="110"/>
    </row>
    <row r="168" spans="1:10">
      <c r="A168" s="169" t="s">
        <v>79</v>
      </c>
      <c r="B168" s="27"/>
      <c r="C168" s="101"/>
      <c r="D168" s="108"/>
      <c r="E168" s="108"/>
      <c r="F168" s="108"/>
      <c r="G168" s="108"/>
      <c r="H168" s="463"/>
    </row>
    <row r="169" spans="1:10" ht="45" customHeight="1">
      <c r="A169" s="1059" t="s">
        <v>825</v>
      </c>
      <c r="B169" s="1059"/>
      <c r="C169" s="1059"/>
      <c r="D169" s="1059"/>
      <c r="E169" s="1059"/>
      <c r="F169" s="1059"/>
      <c r="G169" s="1059"/>
      <c r="H169" s="463"/>
    </row>
    <row r="170" spans="1:10" ht="16.350000000000001" customHeight="1">
      <c r="A170" s="292"/>
      <c r="B170" s="292"/>
      <c r="C170" s="292"/>
      <c r="D170" s="292"/>
      <c r="E170" s="292"/>
      <c r="F170" s="292"/>
      <c r="G170" s="292"/>
      <c r="H170" s="463"/>
    </row>
    <row r="171" spans="1:10" ht="16.350000000000001" customHeight="1">
      <c r="A171" s="297" t="s">
        <v>562</v>
      </c>
      <c r="B171" s="292"/>
      <c r="C171" s="292"/>
      <c r="D171" s="292"/>
      <c r="E171" s="292"/>
      <c r="F171" s="292"/>
      <c r="G171" s="292"/>
      <c r="H171" s="463"/>
    </row>
    <row r="172" spans="1:10" ht="35.1" customHeight="1">
      <c r="A172" s="95" t="s">
        <v>646</v>
      </c>
      <c r="B172" s="109"/>
      <c r="C172" s="109"/>
      <c r="D172" s="15"/>
      <c r="E172" s="15"/>
      <c r="F172" s="15"/>
      <c r="G172" s="15"/>
      <c r="H172" s="463"/>
    </row>
    <row r="173" spans="1:10">
      <c r="A173" s="382" t="s">
        <v>143</v>
      </c>
      <c r="B173" s="20" t="s">
        <v>453</v>
      </c>
      <c r="C173" s="198">
        <v>2020</v>
      </c>
      <c r="D173" s="211">
        <v>2021</v>
      </c>
      <c r="E173" s="211">
        <v>2022</v>
      </c>
      <c r="F173" s="211">
        <v>2023</v>
      </c>
      <c r="G173" s="198">
        <v>2024</v>
      </c>
      <c r="H173" s="465"/>
    </row>
    <row r="174" spans="1:10" ht="44.1" customHeight="1">
      <c r="A174" s="35" t="s">
        <v>647</v>
      </c>
      <c r="B174" s="33" t="s">
        <v>90</v>
      </c>
      <c r="C174" s="898">
        <v>90</v>
      </c>
      <c r="D174" s="899">
        <v>93</v>
      </c>
      <c r="E174" s="899">
        <v>93</v>
      </c>
      <c r="F174" s="899">
        <v>93</v>
      </c>
      <c r="G174" s="899">
        <v>92.5</v>
      </c>
      <c r="H174" s="483" t="s">
        <v>648</v>
      </c>
      <c r="I174" s="590"/>
      <c r="J174" s="478" t="s">
        <v>649</v>
      </c>
    </row>
    <row r="175" spans="1:10" ht="46.35" customHeight="1">
      <c r="A175" s="35" t="s">
        <v>650</v>
      </c>
      <c r="B175" s="33" t="s">
        <v>90</v>
      </c>
      <c r="C175" s="898">
        <v>98</v>
      </c>
      <c r="D175" s="938">
        <v>99.5</v>
      </c>
      <c r="E175" s="939">
        <v>99.5</v>
      </c>
      <c r="F175" s="939">
        <v>99.86</v>
      </c>
      <c r="G175" s="939">
        <v>99.9</v>
      </c>
      <c r="H175" s="110"/>
      <c r="I175" s="590"/>
      <c r="J175" s="478" t="s">
        <v>651</v>
      </c>
    </row>
    <row r="176" spans="1:10" ht="16.350000000000001" customHeight="1">
      <c r="A176" s="177" t="s">
        <v>652</v>
      </c>
      <c r="B176" s="174"/>
      <c r="C176" s="175"/>
      <c r="D176" s="176"/>
      <c r="E176" s="4"/>
      <c r="F176" s="4"/>
      <c r="G176" s="4"/>
    </row>
    <row r="177" spans="1:10" ht="51.75" customHeight="1">
      <c r="A177" s="1008" t="s">
        <v>653</v>
      </c>
      <c r="B177" s="1008"/>
      <c r="C177" s="1008"/>
      <c r="D177" s="1008"/>
      <c r="E177" s="1008"/>
      <c r="F177" s="1008"/>
      <c r="G177" s="1008"/>
    </row>
    <row r="179" spans="1:10" ht="35.1" customHeight="1">
      <c r="A179" s="95" t="s">
        <v>654</v>
      </c>
      <c r="B179" s="109"/>
      <c r="C179" s="15"/>
      <c r="D179" s="15"/>
      <c r="E179" s="15"/>
      <c r="F179" s="15"/>
      <c r="G179" s="15"/>
    </row>
    <row r="180" spans="1:10">
      <c r="A180" s="382" t="s">
        <v>143</v>
      </c>
      <c r="B180" s="20" t="s">
        <v>453</v>
      </c>
      <c r="C180" s="19">
        <v>2020</v>
      </c>
      <c r="D180" s="19">
        <v>2021</v>
      </c>
      <c r="E180" s="428">
        <v>2022</v>
      </c>
      <c r="F180" s="428">
        <v>2023</v>
      </c>
      <c r="G180" s="19">
        <v>2024</v>
      </c>
    </row>
    <row r="181" spans="1:10">
      <c r="A181" s="74" t="s">
        <v>655</v>
      </c>
      <c r="B181" s="57" t="s">
        <v>656</v>
      </c>
      <c r="C181" s="827">
        <v>456750</v>
      </c>
      <c r="D181" s="827">
        <v>478553</v>
      </c>
      <c r="E181" s="827">
        <v>492541</v>
      </c>
      <c r="F181" s="827">
        <v>506372</v>
      </c>
      <c r="G181" s="976">
        <v>482504</v>
      </c>
      <c r="H181" s="465" t="s">
        <v>657</v>
      </c>
      <c r="I181" s="110"/>
      <c r="J181" s="482" t="s">
        <v>27</v>
      </c>
    </row>
    <row r="182" spans="1:10">
      <c r="A182" s="52" t="s">
        <v>658</v>
      </c>
      <c r="B182" s="57" t="s">
        <v>656</v>
      </c>
      <c r="C182" s="826">
        <v>321215</v>
      </c>
      <c r="D182" s="940">
        <v>340375</v>
      </c>
      <c r="E182" s="940">
        <v>351895</v>
      </c>
      <c r="F182" s="940">
        <v>363940</v>
      </c>
      <c r="G182" s="977">
        <v>352878</v>
      </c>
      <c r="H182" s="465" t="s">
        <v>657</v>
      </c>
      <c r="I182" s="110"/>
      <c r="J182" s="482" t="s">
        <v>27</v>
      </c>
    </row>
    <row r="183" spans="1:10">
      <c r="A183" s="52" t="s">
        <v>659</v>
      </c>
      <c r="B183" s="57" t="s">
        <v>656</v>
      </c>
      <c r="C183" s="826">
        <v>60267</v>
      </c>
      <c r="D183" s="940">
        <v>62334</v>
      </c>
      <c r="E183" s="940">
        <v>65613</v>
      </c>
      <c r="F183" s="940">
        <v>64377</v>
      </c>
      <c r="G183" s="977">
        <v>59609</v>
      </c>
      <c r="H183" s="465" t="s">
        <v>657</v>
      </c>
      <c r="I183" s="110"/>
      <c r="J183" s="482" t="s">
        <v>27</v>
      </c>
    </row>
    <row r="184" spans="1:10" ht="16.350000000000001" customHeight="1">
      <c r="A184" s="52" t="s">
        <v>660</v>
      </c>
      <c r="B184" s="186" t="s">
        <v>494</v>
      </c>
      <c r="C184" s="826">
        <v>13361</v>
      </c>
      <c r="D184" s="940">
        <v>12799</v>
      </c>
      <c r="E184" s="940">
        <v>12170</v>
      </c>
      <c r="F184" s="940">
        <v>8953</v>
      </c>
      <c r="G184" s="977">
        <v>9636</v>
      </c>
      <c r="H184" s="465" t="s">
        <v>657</v>
      </c>
      <c r="I184" s="110"/>
      <c r="J184" s="482" t="s">
        <v>27</v>
      </c>
    </row>
    <row r="185" spans="1:10">
      <c r="A185" s="54" t="s">
        <v>661</v>
      </c>
      <c r="B185" s="186" t="s">
        <v>494</v>
      </c>
      <c r="C185" s="826">
        <v>43468</v>
      </c>
      <c r="D185" s="940">
        <v>40397</v>
      </c>
      <c r="E185" s="940">
        <v>41328</v>
      </c>
      <c r="F185" s="940">
        <v>44031</v>
      </c>
      <c r="G185" s="977">
        <v>40503</v>
      </c>
      <c r="H185" s="465" t="s">
        <v>657</v>
      </c>
      <c r="I185" s="110"/>
      <c r="J185" s="482" t="s">
        <v>27</v>
      </c>
    </row>
    <row r="186" spans="1:10">
      <c r="A186" s="54" t="s">
        <v>662</v>
      </c>
      <c r="B186" s="57" t="s">
        <v>656</v>
      </c>
      <c r="C186" s="826">
        <v>18439</v>
      </c>
      <c r="D186" s="940">
        <v>22648</v>
      </c>
      <c r="E186" s="940">
        <v>21535</v>
      </c>
      <c r="F186" s="940">
        <v>25071</v>
      </c>
      <c r="G186" s="977">
        <v>19878</v>
      </c>
      <c r="H186" s="465" t="s">
        <v>657</v>
      </c>
      <c r="I186" s="110"/>
      <c r="J186" s="482" t="s">
        <v>27</v>
      </c>
    </row>
    <row r="187" spans="1:10">
      <c r="A187" s="75" t="s">
        <v>102</v>
      </c>
      <c r="B187" s="57" t="s">
        <v>656</v>
      </c>
      <c r="C187" s="827">
        <v>386541</v>
      </c>
      <c r="D187" s="827">
        <v>411532</v>
      </c>
      <c r="E187" s="827">
        <v>429342</v>
      </c>
      <c r="F187" s="827">
        <v>447585</v>
      </c>
      <c r="G187" s="675">
        <v>423504</v>
      </c>
      <c r="H187" s="110"/>
      <c r="I187" s="110"/>
      <c r="J187" s="482" t="s">
        <v>27</v>
      </c>
    </row>
    <row r="188" spans="1:10">
      <c r="A188" s="58" t="s">
        <v>658</v>
      </c>
      <c r="B188" s="57" t="s">
        <v>656</v>
      </c>
      <c r="C188" s="826">
        <v>265984</v>
      </c>
      <c r="D188" s="826">
        <v>287593</v>
      </c>
      <c r="E188" s="826">
        <v>301509</v>
      </c>
      <c r="F188" s="940">
        <v>313805</v>
      </c>
      <c r="G188" s="941">
        <v>302441</v>
      </c>
      <c r="H188" s="110"/>
      <c r="I188" s="110"/>
      <c r="J188" s="482" t="s">
        <v>27</v>
      </c>
    </row>
    <row r="189" spans="1:10">
      <c r="A189" s="58" t="s">
        <v>659</v>
      </c>
      <c r="B189" s="57" t="s">
        <v>656</v>
      </c>
      <c r="C189" s="874">
        <v>56650</v>
      </c>
      <c r="D189" s="823">
        <v>59350</v>
      </c>
      <c r="E189" s="823">
        <v>62282</v>
      </c>
      <c r="F189" s="940">
        <v>61760</v>
      </c>
      <c r="G189" s="941">
        <v>57418</v>
      </c>
      <c r="H189" s="110"/>
      <c r="I189" s="110"/>
      <c r="J189" s="482" t="s">
        <v>27</v>
      </c>
    </row>
    <row r="190" spans="1:10" ht="16.350000000000001" customHeight="1">
      <c r="A190" s="60" t="s">
        <v>660</v>
      </c>
      <c r="B190" s="186" t="s">
        <v>494</v>
      </c>
      <c r="C190" s="874">
        <v>7308</v>
      </c>
      <c r="D190" s="823">
        <v>6975</v>
      </c>
      <c r="E190" s="823">
        <v>7119</v>
      </c>
      <c r="F190" s="941">
        <v>7121</v>
      </c>
      <c r="G190" s="941">
        <v>7839</v>
      </c>
      <c r="H190" s="110"/>
      <c r="I190" s="110"/>
      <c r="J190" s="482" t="s">
        <v>27</v>
      </c>
    </row>
    <row r="191" spans="1:10">
      <c r="A191" s="54" t="s">
        <v>661</v>
      </c>
      <c r="B191" s="186" t="s">
        <v>494</v>
      </c>
      <c r="C191" s="874">
        <v>43265</v>
      </c>
      <c r="D191" s="823">
        <v>40240</v>
      </c>
      <c r="E191" s="823">
        <v>41170</v>
      </c>
      <c r="F191" s="941">
        <v>43817</v>
      </c>
      <c r="G191" s="941">
        <v>40268</v>
      </c>
      <c r="H191" s="110"/>
      <c r="I191" s="110"/>
      <c r="J191" s="482" t="s">
        <v>27</v>
      </c>
    </row>
    <row r="192" spans="1:10">
      <c r="A192" s="54" t="s">
        <v>662</v>
      </c>
      <c r="B192" s="57" t="s">
        <v>656</v>
      </c>
      <c r="C192" s="874">
        <v>13334</v>
      </c>
      <c r="D192" s="823">
        <v>17374</v>
      </c>
      <c r="E192" s="823">
        <v>17262</v>
      </c>
      <c r="F192" s="940">
        <v>21082</v>
      </c>
      <c r="G192" s="940">
        <v>15538</v>
      </c>
      <c r="H192" s="110"/>
      <c r="I192" s="110"/>
      <c r="J192" s="482" t="s">
        <v>27</v>
      </c>
    </row>
    <row r="193" spans="1:10">
      <c r="A193" s="169" t="s">
        <v>79</v>
      </c>
      <c r="B193" s="167"/>
      <c r="C193" s="170"/>
      <c r="D193" s="171"/>
      <c r="E193" s="171"/>
      <c r="F193" s="171"/>
      <c r="G193" s="171"/>
    </row>
    <row r="194" spans="1:10" ht="46.5" customHeight="1">
      <c r="A194" s="1008" t="s">
        <v>663</v>
      </c>
      <c r="B194" s="1008"/>
      <c r="C194" s="1008"/>
      <c r="D194" s="1008"/>
      <c r="E194" s="1008"/>
      <c r="F194" s="1008"/>
      <c r="G194" s="1008"/>
    </row>
    <row r="195" spans="1:10" ht="18" customHeight="1">
      <c r="A195" s="1059" t="s">
        <v>664</v>
      </c>
      <c r="B195" s="1059"/>
      <c r="C195" s="1059"/>
      <c r="D195" s="1059"/>
      <c r="E195" s="1059"/>
      <c r="F195" s="1059"/>
      <c r="G195" s="1059"/>
    </row>
    <row r="196" spans="1:10" ht="48.75" customHeight="1">
      <c r="A196" s="1058" t="s">
        <v>665</v>
      </c>
      <c r="B196" s="1058"/>
      <c r="C196" s="1058"/>
      <c r="D196" s="1058"/>
      <c r="E196" s="1058"/>
      <c r="F196" s="1058"/>
      <c r="G196" s="1058"/>
    </row>
    <row r="198" spans="1:10" ht="35.1" customHeight="1">
      <c r="A198" s="95" t="s">
        <v>666</v>
      </c>
      <c r="B198" s="109"/>
      <c r="C198" s="109"/>
      <c r="D198" s="15"/>
      <c r="E198" s="15"/>
      <c r="F198" s="15"/>
      <c r="G198" s="15"/>
    </row>
    <row r="199" spans="1:10">
      <c r="A199" s="382" t="s">
        <v>143</v>
      </c>
      <c r="B199" s="20" t="s">
        <v>453</v>
      </c>
      <c r="C199" s="209">
        <v>2020</v>
      </c>
      <c r="D199" s="209">
        <v>2021</v>
      </c>
      <c r="E199" s="212">
        <v>2022</v>
      </c>
      <c r="F199" s="212">
        <v>2023</v>
      </c>
      <c r="G199" s="209">
        <v>2024</v>
      </c>
    </row>
    <row r="200" spans="1:10" ht="16.350000000000001" customHeight="1">
      <c r="A200" s="34" t="s">
        <v>667</v>
      </c>
      <c r="B200" s="32" t="s">
        <v>212</v>
      </c>
      <c r="C200" s="823">
        <v>13794</v>
      </c>
      <c r="D200" s="826">
        <v>12105</v>
      </c>
      <c r="E200" s="826">
        <v>11532</v>
      </c>
      <c r="F200" s="826">
        <v>10872</v>
      </c>
      <c r="G200" s="826">
        <v>10699</v>
      </c>
      <c r="H200" s="465" t="s">
        <v>657</v>
      </c>
      <c r="I200" s="110"/>
      <c r="J200" s="482" t="s">
        <v>27</v>
      </c>
    </row>
    <row r="201" spans="1:10" ht="25.5">
      <c r="A201" s="34" t="s">
        <v>668</v>
      </c>
      <c r="B201" s="186" t="s">
        <v>494</v>
      </c>
      <c r="C201" s="823">
        <v>53519</v>
      </c>
      <c r="D201" s="823">
        <v>53646</v>
      </c>
      <c r="E201" s="823">
        <v>53512</v>
      </c>
      <c r="F201" s="823">
        <v>53401</v>
      </c>
      <c r="G201" s="823">
        <v>53653</v>
      </c>
      <c r="H201" s="110"/>
      <c r="I201" s="110"/>
      <c r="J201" s="110"/>
    </row>
    <row r="202" spans="1:10">
      <c r="A202" s="34" t="s">
        <v>669</v>
      </c>
      <c r="B202" s="33" t="s">
        <v>670</v>
      </c>
      <c r="C202" s="874">
        <v>2241</v>
      </c>
      <c r="D202" s="823">
        <v>2291</v>
      </c>
      <c r="E202" s="823">
        <v>2278</v>
      </c>
      <c r="F202" s="823">
        <v>2331</v>
      </c>
      <c r="G202" s="823">
        <v>2368</v>
      </c>
      <c r="H202" s="110"/>
      <c r="I202" s="110"/>
      <c r="J202" s="110"/>
    </row>
    <row r="203" spans="1:10">
      <c r="A203" s="184"/>
      <c r="B203" s="27"/>
      <c r="C203" s="299"/>
      <c r="D203" s="298"/>
      <c r="E203" s="298"/>
      <c r="F203" s="298"/>
      <c r="G203" s="298"/>
    </row>
    <row r="204" spans="1:10">
      <c r="A204" s="300" t="s">
        <v>563</v>
      </c>
      <c r="H204" s="463"/>
    </row>
    <row r="205" spans="1:10" ht="35.1" customHeight="1">
      <c r="A205" s="95" t="s">
        <v>671</v>
      </c>
      <c r="B205" s="109"/>
      <c r="C205" s="109"/>
      <c r="D205" s="15"/>
      <c r="E205" s="15"/>
      <c r="F205" s="15"/>
      <c r="G205" s="15"/>
      <c r="H205" s="463"/>
    </row>
    <row r="206" spans="1:10">
      <c r="A206" s="382" t="s">
        <v>143</v>
      </c>
      <c r="B206" s="20" t="s">
        <v>453</v>
      </c>
      <c r="C206" s="209">
        <v>2020</v>
      </c>
      <c r="D206" s="212">
        <v>2021</v>
      </c>
      <c r="E206" s="212">
        <v>2022</v>
      </c>
      <c r="F206" s="212">
        <v>2023</v>
      </c>
      <c r="G206" s="209">
        <v>2024</v>
      </c>
      <c r="H206" s="463"/>
    </row>
    <row r="207" spans="1:10" ht="25.5">
      <c r="A207" s="52" t="s">
        <v>672</v>
      </c>
      <c r="B207" s="57" t="s">
        <v>259</v>
      </c>
      <c r="C207" s="823">
        <v>584621</v>
      </c>
      <c r="D207" s="885">
        <v>409435</v>
      </c>
      <c r="E207" s="874">
        <v>427992</v>
      </c>
      <c r="F207" s="874">
        <v>370036</v>
      </c>
      <c r="G207" s="874">
        <v>347441</v>
      </c>
      <c r="H207" s="110"/>
      <c r="I207" s="110"/>
      <c r="J207" s="482" t="s">
        <v>27</v>
      </c>
    </row>
    <row r="208" spans="1:10" ht="16.350000000000001" customHeight="1">
      <c r="A208" s="52" t="s">
        <v>265</v>
      </c>
      <c r="B208" s="57" t="s">
        <v>90</v>
      </c>
      <c r="C208" s="32">
        <v>14</v>
      </c>
      <c r="D208" s="343">
        <v>19</v>
      </c>
      <c r="E208" s="343">
        <v>19</v>
      </c>
      <c r="F208" s="343">
        <v>18</v>
      </c>
      <c r="G208" s="343">
        <v>20</v>
      </c>
      <c r="H208" s="110"/>
      <c r="I208" s="110"/>
      <c r="J208" s="465" t="s">
        <v>673</v>
      </c>
    </row>
    <row r="209" spans="1:10" ht="16.350000000000001" customHeight="1">
      <c r="A209" s="52" t="s">
        <v>606</v>
      </c>
      <c r="B209" s="57" t="s">
        <v>90</v>
      </c>
      <c r="C209" s="32">
        <v>14</v>
      </c>
      <c r="D209" s="37">
        <v>18</v>
      </c>
      <c r="E209" s="37">
        <v>26</v>
      </c>
      <c r="F209" s="37">
        <v>28</v>
      </c>
      <c r="G209" s="37">
        <v>28</v>
      </c>
      <c r="H209" s="110"/>
      <c r="I209" s="110"/>
      <c r="J209" s="465" t="s">
        <v>673</v>
      </c>
    </row>
    <row r="210" spans="1:10" ht="16.350000000000001" customHeight="1">
      <c r="A210" s="52" t="s">
        <v>268</v>
      </c>
      <c r="B210" s="57" t="s">
        <v>90</v>
      </c>
      <c r="C210" s="32">
        <v>72</v>
      </c>
      <c r="D210" s="37">
        <v>63</v>
      </c>
      <c r="E210" s="37">
        <v>55</v>
      </c>
      <c r="F210" s="37">
        <v>53</v>
      </c>
      <c r="G210" s="37">
        <v>52</v>
      </c>
      <c r="H210" s="110"/>
      <c r="I210" s="110"/>
      <c r="J210" s="465" t="s">
        <v>673</v>
      </c>
    </row>
    <row r="211" spans="1:10" ht="16.350000000000001" customHeight="1">
      <c r="A211" s="60" t="s">
        <v>674</v>
      </c>
      <c r="B211" s="262" t="s">
        <v>675</v>
      </c>
      <c r="C211" s="823">
        <v>11266.048000000001</v>
      </c>
      <c r="D211" s="823">
        <v>8524.2199999999993</v>
      </c>
      <c r="E211" s="823">
        <v>9959.6999999999989</v>
      </c>
      <c r="F211" s="823">
        <v>8652.478000000001</v>
      </c>
      <c r="G211" s="823">
        <v>9905.4159999999993</v>
      </c>
      <c r="H211" s="110"/>
      <c r="I211" s="464" t="s">
        <v>676</v>
      </c>
      <c r="J211" s="482" t="s">
        <v>27</v>
      </c>
    </row>
    <row r="212" spans="1:10" ht="16.350000000000001" customHeight="1">
      <c r="A212" s="60" t="s">
        <v>166</v>
      </c>
      <c r="B212" s="262" t="s">
        <v>675</v>
      </c>
      <c r="C212" s="823">
        <v>10789.689</v>
      </c>
      <c r="D212" s="823">
        <v>8128.78</v>
      </c>
      <c r="E212" s="823">
        <v>9639.5419999999995</v>
      </c>
      <c r="F212" s="823">
        <v>8412.8410000000003</v>
      </c>
      <c r="G212" s="823">
        <v>9594.65</v>
      </c>
      <c r="H212" s="110"/>
      <c r="I212" s="110"/>
      <c r="J212" s="465"/>
    </row>
    <row r="213" spans="1:10" ht="16.350000000000001" customHeight="1">
      <c r="A213" s="60" t="s">
        <v>167</v>
      </c>
      <c r="B213" s="262" t="s">
        <v>675</v>
      </c>
      <c r="C213" s="823">
        <v>476.35899999999998</v>
      </c>
      <c r="D213" s="823">
        <v>395.44</v>
      </c>
      <c r="E213" s="823">
        <v>320.15800000000002</v>
      </c>
      <c r="F213" s="823">
        <v>239.637</v>
      </c>
      <c r="G213" s="823">
        <v>310.76600000000002</v>
      </c>
      <c r="H213" s="110"/>
      <c r="I213" s="110"/>
      <c r="J213" s="465"/>
    </row>
    <row r="214" spans="1:10" ht="16.350000000000001" customHeight="1">
      <c r="A214" s="60" t="s">
        <v>677</v>
      </c>
      <c r="B214" s="262" t="s">
        <v>678</v>
      </c>
      <c r="C214" s="823">
        <v>79.069999999999993</v>
      </c>
      <c r="D214" s="874">
        <v>83.861000000000004</v>
      </c>
      <c r="E214" s="874">
        <v>90.253</v>
      </c>
      <c r="F214" s="874">
        <v>86.495999999999995</v>
      </c>
      <c r="G214" s="874">
        <v>91.015000000000001</v>
      </c>
      <c r="H214" s="110"/>
      <c r="I214" s="110"/>
      <c r="J214" s="465"/>
    </row>
    <row r="215" spans="1:10" ht="33.75">
      <c r="A215" s="60" t="s">
        <v>679</v>
      </c>
      <c r="B215" s="262" t="s">
        <v>680</v>
      </c>
      <c r="C215" s="853">
        <v>142.48195270013915</v>
      </c>
      <c r="D215" s="853">
        <v>101.64701112555298</v>
      </c>
      <c r="E215" s="853">
        <v>110.35311845589619</v>
      </c>
      <c r="F215" s="853">
        <v>100.03327321494638</v>
      </c>
      <c r="G215" s="853">
        <v>108.83278580453771</v>
      </c>
      <c r="H215" s="465" t="s">
        <v>681</v>
      </c>
      <c r="I215" s="110"/>
      <c r="J215" s="483" t="s">
        <v>682</v>
      </c>
    </row>
    <row r="216" spans="1:10">
      <c r="A216" s="60" t="s">
        <v>683</v>
      </c>
      <c r="B216" s="262" t="s">
        <v>684</v>
      </c>
      <c r="C216" s="874">
        <v>9266</v>
      </c>
      <c r="D216" s="874">
        <v>10186</v>
      </c>
      <c r="E216" s="874">
        <v>11111</v>
      </c>
      <c r="F216" s="874">
        <v>13393</v>
      </c>
      <c r="G216" s="874">
        <v>15214</v>
      </c>
      <c r="H216" s="110"/>
      <c r="I216" s="110"/>
      <c r="J216" s="464" t="s">
        <v>685</v>
      </c>
    </row>
    <row r="217" spans="1:10">
      <c r="A217" s="173" t="s">
        <v>79</v>
      </c>
      <c r="B217" s="167"/>
      <c r="C217" s="165"/>
      <c r="D217" s="172"/>
      <c r="E217" s="172"/>
      <c r="F217" s="172"/>
      <c r="G217" s="172"/>
    </row>
    <row r="218" spans="1:10" ht="63" customHeight="1">
      <c r="A218" s="1055" t="s">
        <v>686</v>
      </c>
      <c r="B218" s="1055"/>
      <c r="C218" s="1055"/>
      <c r="D218" s="1055"/>
      <c r="E218" s="1055"/>
      <c r="F218" s="1055"/>
      <c r="G218" s="1055"/>
      <c r="H218" s="532"/>
    </row>
    <row r="220" spans="1:10" ht="35.1" customHeight="1">
      <c r="A220" s="95" t="s">
        <v>687</v>
      </c>
      <c r="B220" s="109"/>
      <c r="C220" s="109"/>
      <c r="D220" s="15"/>
      <c r="E220" s="15"/>
      <c r="F220" s="15"/>
      <c r="G220" s="15"/>
    </row>
    <row r="221" spans="1:10">
      <c r="A221" s="382" t="s">
        <v>143</v>
      </c>
      <c r="B221" s="20" t="s">
        <v>453</v>
      </c>
      <c r="C221" s="209">
        <v>2020</v>
      </c>
      <c r="D221" s="209">
        <v>2021</v>
      </c>
      <c r="E221" s="212">
        <v>2022</v>
      </c>
      <c r="F221" s="212">
        <v>2023</v>
      </c>
      <c r="G221" s="209">
        <v>2024</v>
      </c>
      <c r="H221" s="483"/>
    </row>
    <row r="222" spans="1:10" ht="25.5">
      <c r="A222" s="74" t="s">
        <v>688</v>
      </c>
      <c r="B222" s="57" t="s">
        <v>675</v>
      </c>
      <c r="C222" s="675">
        <v>6963.5869999999995</v>
      </c>
      <c r="D222" s="827">
        <v>4014.7630000000004</v>
      </c>
      <c r="E222" s="827">
        <v>4085.32</v>
      </c>
      <c r="F222" s="827">
        <v>3696.6709999999998</v>
      </c>
      <c r="G222" s="827">
        <v>3687.2579999999998</v>
      </c>
      <c r="H222" s="465" t="s">
        <v>689</v>
      </c>
      <c r="I222" s="464" t="s">
        <v>676</v>
      </c>
      <c r="J222" s="465" t="s">
        <v>27</v>
      </c>
    </row>
    <row r="223" spans="1:10" ht="16.350000000000001" customHeight="1">
      <c r="A223" s="52" t="s">
        <v>177</v>
      </c>
      <c r="B223" s="57" t="s">
        <v>675</v>
      </c>
      <c r="C223" s="874">
        <v>6886.9359999999997</v>
      </c>
      <c r="D223" s="885">
        <v>3968.7130000000002</v>
      </c>
      <c r="E223" s="885">
        <v>4064.9870000000001</v>
      </c>
      <c r="F223" s="885">
        <v>3681.085</v>
      </c>
      <c r="G223" s="885">
        <v>3672.0729999999999</v>
      </c>
      <c r="H223" s="465" t="s">
        <v>689</v>
      </c>
      <c r="J223" s="465" t="s">
        <v>27</v>
      </c>
    </row>
    <row r="224" spans="1:10" ht="25.5">
      <c r="A224" s="52" t="s">
        <v>178</v>
      </c>
      <c r="B224" s="57" t="s">
        <v>675</v>
      </c>
      <c r="C224" s="874">
        <v>76.650999999999996</v>
      </c>
      <c r="D224" s="885">
        <v>46.05</v>
      </c>
      <c r="E224" s="885">
        <v>20.332999999999998</v>
      </c>
      <c r="F224" s="885">
        <v>15.586</v>
      </c>
      <c r="G224" s="885">
        <v>15.185</v>
      </c>
      <c r="H224" s="465" t="s">
        <v>689</v>
      </c>
    </row>
    <row r="225" spans="1:11" ht="27" customHeight="1">
      <c r="A225" s="74" t="s">
        <v>672</v>
      </c>
      <c r="B225" s="57" t="s">
        <v>259</v>
      </c>
      <c r="C225" s="675">
        <v>470355</v>
      </c>
      <c r="D225" s="675">
        <v>267072</v>
      </c>
      <c r="E225" s="675">
        <v>263190</v>
      </c>
      <c r="F225" s="942">
        <v>227255</v>
      </c>
      <c r="G225" s="942">
        <v>194416</v>
      </c>
      <c r="H225" s="465" t="s">
        <v>689</v>
      </c>
      <c r="I225"/>
      <c r="J225" s="110"/>
      <c r="K225" s="534"/>
    </row>
    <row r="226" spans="1:11" ht="16.350000000000001" customHeight="1">
      <c r="A226" s="406" t="s">
        <v>690</v>
      </c>
      <c r="B226" s="398"/>
      <c r="C226" s="943"/>
      <c r="D226" s="922"/>
      <c r="E226" s="944"/>
      <c r="F226" s="944"/>
      <c r="G226" s="944"/>
      <c r="H226" s="465" t="s">
        <v>689</v>
      </c>
    </row>
    <row r="227" spans="1:11" ht="16.350000000000001" customHeight="1">
      <c r="A227" s="407" t="s">
        <v>265</v>
      </c>
      <c r="B227" s="262" t="s">
        <v>90</v>
      </c>
      <c r="C227" s="853">
        <v>11.319535244655633</v>
      </c>
      <c r="D227" s="850">
        <v>16.759525521207763</v>
      </c>
      <c r="E227" s="853">
        <v>17.371100725711464</v>
      </c>
      <c r="F227" s="853">
        <v>14.533013575058854</v>
      </c>
      <c r="G227" s="853">
        <v>17.147765615998683</v>
      </c>
      <c r="H227" s="465" t="s">
        <v>689</v>
      </c>
      <c r="I227" s="110"/>
      <c r="J227" s="110"/>
    </row>
    <row r="228" spans="1:11" ht="16.350000000000001" customHeight="1">
      <c r="A228" s="54" t="s">
        <v>606</v>
      </c>
      <c r="B228" s="262" t="s">
        <v>90</v>
      </c>
      <c r="C228" s="874">
        <v>12.805434193322066</v>
      </c>
      <c r="D228" s="850">
        <v>17.551821231727775</v>
      </c>
      <c r="E228" s="874">
        <v>28.681560849576353</v>
      </c>
      <c r="F228" s="874">
        <v>32.115024971947811</v>
      </c>
      <c r="G228" s="874">
        <v>33.038947411735656</v>
      </c>
      <c r="H228" s="465" t="s">
        <v>689</v>
      </c>
      <c r="I228" s="110"/>
      <c r="J228" s="110"/>
    </row>
    <row r="229" spans="1:11" ht="16.350000000000001" customHeight="1">
      <c r="A229" s="54" t="s">
        <v>268</v>
      </c>
      <c r="B229" s="262" t="s">
        <v>90</v>
      </c>
      <c r="C229" s="874">
        <v>75.875030562022303</v>
      </c>
      <c r="D229" s="945">
        <v>65.688653247064465</v>
      </c>
      <c r="E229" s="874">
        <v>53.947338424712186</v>
      </c>
      <c r="F229" s="874">
        <v>53.351961452993336</v>
      </c>
      <c r="G229" s="874">
        <v>49.813286972265658</v>
      </c>
      <c r="H229" s="465" t="s">
        <v>689</v>
      </c>
      <c r="I229" s="110"/>
      <c r="J229" s="110"/>
    </row>
    <row r="230" spans="1:11">
      <c r="D230" s="657"/>
      <c r="E230" s="4"/>
      <c r="J230" s="469"/>
    </row>
    <row r="231" spans="1:11">
      <c r="A231" s="12" t="s">
        <v>564</v>
      </c>
      <c r="J231" s="469"/>
    </row>
    <row r="232" spans="1:11" ht="35.1" customHeight="1">
      <c r="A232" s="95" t="s">
        <v>691</v>
      </c>
      <c r="B232" s="109"/>
      <c r="C232" s="109"/>
      <c r="D232" s="109"/>
      <c r="E232" s="109"/>
      <c r="F232" s="109"/>
      <c r="G232" s="109"/>
      <c r="H232" s="109"/>
      <c r="J232" s="483"/>
    </row>
    <row r="233" spans="1:11">
      <c r="A233" s="382" t="s">
        <v>143</v>
      </c>
      <c r="B233" s="430" t="s">
        <v>66</v>
      </c>
      <c r="C233" s="356">
        <v>2022</v>
      </c>
      <c r="D233" s="676"/>
      <c r="E233" s="356">
        <v>2023</v>
      </c>
      <c r="F233" s="676"/>
      <c r="G233" s="727">
        <v>2024</v>
      </c>
      <c r="H233" s="726"/>
    </row>
    <row r="234" spans="1:11" ht="38.25">
      <c r="A234" s="80"/>
      <c r="B234" s="111"/>
      <c r="C234" s="677" t="s">
        <v>692</v>
      </c>
      <c r="D234" s="677" t="s">
        <v>693</v>
      </c>
      <c r="E234" s="677" t="s">
        <v>692</v>
      </c>
      <c r="F234" s="677" t="s">
        <v>693</v>
      </c>
      <c r="G234" s="677" t="s">
        <v>692</v>
      </c>
      <c r="H234" s="677" t="s">
        <v>693</v>
      </c>
    </row>
    <row r="235" spans="1:11">
      <c r="A235" s="138" t="s">
        <v>694</v>
      </c>
      <c r="B235" s="139"/>
      <c r="C235" s="290"/>
      <c r="D235" s="496"/>
      <c r="E235" s="620"/>
      <c r="F235" s="496"/>
      <c r="G235" s="1"/>
      <c r="H235" s="1"/>
    </row>
    <row r="236" spans="1:11">
      <c r="A236" s="17" t="s">
        <v>695</v>
      </c>
      <c r="B236" s="745" t="s">
        <v>696</v>
      </c>
      <c r="C236" s="978">
        <v>46880</v>
      </c>
      <c r="D236" s="979">
        <v>2.5</v>
      </c>
      <c r="E236" s="978">
        <v>52889</v>
      </c>
      <c r="F236" s="979">
        <v>3</v>
      </c>
      <c r="G236" s="978">
        <v>61316</v>
      </c>
      <c r="H236" s="946">
        <v>3</v>
      </c>
      <c r="I236" s="110"/>
      <c r="J236" s="465" t="s">
        <v>27</v>
      </c>
    </row>
    <row r="237" spans="1:11">
      <c r="A237" s="17" t="s">
        <v>697</v>
      </c>
      <c r="B237" s="745" t="s">
        <v>696</v>
      </c>
      <c r="C237" s="978">
        <v>42630</v>
      </c>
      <c r="D237" s="979">
        <v>1.9</v>
      </c>
      <c r="E237" s="978">
        <v>49462</v>
      </c>
      <c r="F237" s="979">
        <v>1.8</v>
      </c>
      <c r="G237" s="978">
        <v>59407</v>
      </c>
      <c r="H237" s="946">
        <v>1.9</v>
      </c>
      <c r="I237" s="619"/>
      <c r="J237" s="465" t="s">
        <v>27</v>
      </c>
    </row>
    <row r="238" spans="1:11">
      <c r="A238" s="17" t="s">
        <v>698</v>
      </c>
      <c r="B238" s="745" t="s">
        <v>696</v>
      </c>
      <c r="C238" s="978">
        <v>47330</v>
      </c>
      <c r="D238" s="979">
        <v>2.2000000000000002</v>
      </c>
      <c r="E238" s="978">
        <v>54674</v>
      </c>
      <c r="F238" s="979">
        <v>2.2999999999999998</v>
      </c>
      <c r="G238" s="978">
        <v>65725</v>
      </c>
      <c r="H238" s="946">
        <v>2.2000000000000002</v>
      </c>
      <c r="I238" s="110"/>
      <c r="J238" s="465" t="s">
        <v>27</v>
      </c>
    </row>
    <row r="239" spans="1:11">
      <c r="A239" s="18" t="s">
        <v>699</v>
      </c>
      <c r="B239" s="745" t="s">
        <v>696</v>
      </c>
      <c r="C239" s="978">
        <v>106068</v>
      </c>
      <c r="D239" s="979">
        <v>1.5</v>
      </c>
      <c r="E239" s="978">
        <v>118415</v>
      </c>
      <c r="F239" s="979">
        <v>1.5</v>
      </c>
      <c r="G239" s="978">
        <v>134443</v>
      </c>
      <c r="H239" s="946">
        <v>1.7</v>
      </c>
      <c r="I239" s="110"/>
      <c r="J239" s="465" t="s">
        <v>27</v>
      </c>
    </row>
    <row r="240" spans="1:11">
      <c r="A240" s="17" t="s">
        <v>700</v>
      </c>
      <c r="B240" s="745" t="s">
        <v>696</v>
      </c>
      <c r="C240" s="978">
        <v>46556</v>
      </c>
      <c r="D240" s="979">
        <v>1.9</v>
      </c>
      <c r="E240" s="978">
        <v>54204</v>
      </c>
      <c r="F240" s="979">
        <v>1.8</v>
      </c>
      <c r="G240" s="978">
        <v>67004</v>
      </c>
      <c r="H240" s="946">
        <v>1.8</v>
      </c>
      <c r="I240" s="110"/>
      <c r="J240" s="465" t="s">
        <v>27</v>
      </c>
    </row>
    <row r="241" spans="1:11">
      <c r="A241" s="17" t="s">
        <v>498</v>
      </c>
      <c r="B241" s="745" t="s">
        <v>696</v>
      </c>
      <c r="C241" s="978">
        <v>52066</v>
      </c>
      <c r="D241" s="979">
        <v>1.8</v>
      </c>
      <c r="E241" s="978">
        <v>60944</v>
      </c>
      <c r="F241" s="979">
        <v>1.8</v>
      </c>
      <c r="G241" s="978">
        <v>73292</v>
      </c>
      <c r="H241" s="946">
        <v>1.8</v>
      </c>
      <c r="I241" s="110"/>
      <c r="J241" s="465" t="s">
        <v>27</v>
      </c>
    </row>
    <row r="242" spans="1:11">
      <c r="A242" s="17" t="s">
        <v>701</v>
      </c>
      <c r="B242" s="745" t="s">
        <v>696</v>
      </c>
      <c r="C242" s="978">
        <v>67895</v>
      </c>
      <c r="D242" s="979">
        <v>1.9</v>
      </c>
      <c r="E242" s="978">
        <v>76811</v>
      </c>
      <c r="F242" s="979">
        <v>1.9</v>
      </c>
      <c r="G242" s="978">
        <v>87640</v>
      </c>
      <c r="H242" s="946">
        <v>2</v>
      </c>
      <c r="I242" s="110"/>
      <c r="J242" s="465" t="s">
        <v>27</v>
      </c>
    </row>
    <row r="243" spans="1:11">
      <c r="A243" s="18" t="s">
        <v>702</v>
      </c>
      <c r="B243" s="745" t="s">
        <v>696</v>
      </c>
      <c r="C243" s="978"/>
      <c r="D243" s="979"/>
      <c r="E243" s="978">
        <v>55780</v>
      </c>
      <c r="F243" s="979">
        <v>1.4</v>
      </c>
      <c r="G243" s="978">
        <v>67893</v>
      </c>
      <c r="H243" s="946">
        <v>1.5</v>
      </c>
      <c r="I243" s="110"/>
      <c r="J243" s="465" t="s">
        <v>27</v>
      </c>
      <c r="K243" s="6"/>
    </row>
    <row r="244" spans="1:11">
      <c r="A244" s="17" t="s">
        <v>703</v>
      </c>
      <c r="B244" s="745" t="s">
        <v>696</v>
      </c>
      <c r="C244" s="978">
        <v>42293</v>
      </c>
      <c r="D244" s="979">
        <v>1.8</v>
      </c>
      <c r="E244" s="978">
        <v>49585</v>
      </c>
      <c r="F244" s="979">
        <v>1.7</v>
      </c>
      <c r="G244" s="978">
        <v>58019</v>
      </c>
      <c r="H244" s="946">
        <v>2</v>
      </c>
      <c r="I244" s="110"/>
      <c r="J244" s="465" t="s">
        <v>27</v>
      </c>
    </row>
    <row r="245" spans="1:11">
      <c r="A245" s="17" t="s">
        <v>501</v>
      </c>
      <c r="B245" s="745" t="s">
        <v>696</v>
      </c>
      <c r="C245" s="978">
        <v>41396</v>
      </c>
      <c r="D245" s="979">
        <v>1.7</v>
      </c>
      <c r="E245" s="978">
        <v>47053</v>
      </c>
      <c r="F245" s="979">
        <v>1.7</v>
      </c>
      <c r="G245" s="978">
        <v>57131</v>
      </c>
      <c r="H245" s="946">
        <v>1.8</v>
      </c>
      <c r="I245" s="110"/>
      <c r="J245" s="465" t="s">
        <v>27</v>
      </c>
    </row>
    <row r="246" spans="1:11">
      <c r="A246" s="17" t="s">
        <v>704</v>
      </c>
      <c r="B246" s="745" t="s">
        <v>696</v>
      </c>
      <c r="C246" s="978">
        <v>97486</v>
      </c>
      <c r="D246" s="979">
        <v>1.3</v>
      </c>
      <c r="E246" s="978">
        <v>107700</v>
      </c>
      <c r="F246" s="979">
        <v>1.4</v>
      </c>
      <c r="G246" s="978">
        <v>124372</v>
      </c>
      <c r="H246" s="946">
        <v>1.4</v>
      </c>
      <c r="I246" s="110"/>
      <c r="J246" s="465" t="s">
        <v>27</v>
      </c>
    </row>
    <row r="247" spans="1:11">
      <c r="A247" s="18" t="s">
        <v>705</v>
      </c>
      <c r="B247" s="745" t="s">
        <v>696</v>
      </c>
      <c r="C247" s="978">
        <v>131163</v>
      </c>
      <c r="D247" s="979">
        <v>1.2</v>
      </c>
      <c r="E247" s="978">
        <v>145130</v>
      </c>
      <c r="F247" s="979">
        <v>1.3</v>
      </c>
      <c r="G247" s="978">
        <v>163881</v>
      </c>
      <c r="H247" s="946">
        <v>1.3</v>
      </c>
      <c r="I247" s="110"/>
      <c r="J247" s="465" t="s">
        <v>27</v>
      </c>
    </row>
    <row r="248" spans="1:11">
      <c r="A248" s="17" t="s">
        <v>706</v>
      </c>
      <c r="B248" s="745" t="s">
        <v>696</v>
      </c>
      <c r="C248" s="978">
        <v>48399</v>
      </c>
      <c r="D248" s="979">
        <v>1.3</v>
      </c>
      <c r="E248" s="978">
        <v>55930</v>
      </c>
      <c r="F248" s="979">
        <v>1.3</v>
      </c>
      <c r="G248" s="978">
        <v>67530</v>
      </c>
      <c r="H248" s="946">
        <v>1.3</v>
      </c>
      <c r="I248" s="110"/>
      <c r="J248" s="465" t="s">
        <v>27</v>
      </c>
    </row>
    <row r="249" spans="1:11">
      <c r="A249" s="17" t="s">
        <v>707</v>
      </c>
      <c r="B249" s="745" t="s">
        <v>696</v>
      </c>
      <c r="C249" s="978">
        <v>94629</v>
      </c>
      <c r="D249" s="979">
        <v>1.2</v>
      </c>
      <c r="E249" s="978">
        <v>105533</v>
      </c>
      <c r="F249" s="979">
        <v>1.9</v>
      </c>
      <c r="G249" s="978">
        <v>121455</v>
      </c>
      <c r="H249" s="946">
        <v>2.1</v>
      </c>
      <c r="I249" s="110"/>
      <c r="J249" s="465" t="s">
        <v>27</v>
      </c>
    </row>
    <row r="250" spans="1:11">
      <c r="A250" s="18" t="s">
        <v>708</v>
      </c>
      <c r="B250" s="745" t="s">
        <v>696</v>
      </c>
      <c r="C250" s="978">
        <v>44766</v>
      </c>
      <c r="D250" s="979">
        <v>1.1000000000000001</v>
      </c>
      <c r="E250" s="978">
        <v>51724</v>
      </c>
      <c r="F250" s="979">
        <v>1.4</v>
      </c>
      <c r="G250" s="978">
        <v>61925</v>
      </c>
      <c r="H250" s="946">
        <v>1.5</v>
      </c>
      <c r="I250" s="110"/>
      <c r="J250" s="465" t="s">
        <v>27</v>
      </c>
    </row>
    <row r="251" spans="1:11">
      <c r="A251" s="138" t="s">
        <v>709</v>
      </c>
      <c r="B251" s="138"/>
      <c r="C251" s="980"/>
      <c r="D251" s="496"/>
      <c r="E251" s="572"/>
      <c r="F251" s="572"/>
      <c r="G251" s="981"/>
      <c r="H251" s="1"/>
      <c r="I251" s="110"/>
    </row>
    <row r="252" spans="1:11">
      <c r="A252" s="18" t="s">
        <v>710</v>
      </c>
      <c r="B252" s="745" t="s">
        <v>696</v>
      </c>
      <c r="C252" s="978">
        <v>122824</v>
      </c>
      <c r="D252" s="979">
        <v>1.5</v>
      </c>
      <c r="E252" s="978">
        <v>136401</v>
      </c>
      <c r="F252" s="979">
        <v>1.7</v>
      </c>
      <c r="G252" s="978">
        <v>162124</v>
      </c>
      <c r="H252" s="946">
        <v>1.8</v>
      </c>
      <c r="I252" s="110"/>
      <c r="J252" s="465" t="s">
        <v>27</v>
      </c>
    </row>
    <row r="253" spans="1:11">
      <c r="A253" s="18" t="s">
        <v>711</v>
      </c>
      <c r="B253" s="745" t="s">
        <v>696</v>
      </c>
      <c r="C253" s="978">
        <v>48349</v>
      </c>
      <c r="D253" s="979">
        <v>1.8</v>
      </c>
      <c r="E253" s="978">
        <v>56720</v>
      </c>
      <c r="F253" s="979">
        <v>1.8</v>
      </c>
      <c r="G253" s="978">
        <v>67576</v>
      </c>
      <c r="H253" s="946">
        <v>1.8</v>
      </c>
      <c r="I253" s="110"/>
      <c r="J253" s="465" t="s">
        <v>27</v>
      </c>
    </row>
    <row r="254" spans="1:11">
      <c r="A254" s="18" t="s">
        <v>712</v>
      </c>
      <c r="B254" s="745" t="s">
        <v>696</v>
      </c>
      <c r="C254" s="978">
        <v>53289</v>
      </c>
      <c r="D254" s="979">
        <v>1</v>
      </c>
      <c r="E254" s="978">
        <v>59190</v>
      </c>
      <c r="F254" s="979">
        <v>1.1000000000000001</v>
      </c>
      <c r="G254" s="978">
        <v>71467</v>
      </c>
      <c r="H254" s="946">
        <v>1</v>
      </c>
      <c r="I254" s="110"/>
      <c r="J254" s="465" t="s">
        <v>27</v>
      </c>
    </row>
    <row r="255" spans="1:11">
      <c r="A255" s="18" t="s">
        <v>713</v>
      </c>
      <c r="B255" s="745" t="s">
        <v>696</v>
      </c>
      <c r="C255" s="978">
        <v>70182</v>
      </c>
      <c r="D255" s="979">
        <v>1.1000000000000001</v>
      </c>
      <c r="E255" s="978">
        <v>82457</v>
      </c>
      <c r="F255" s="979">
        <v>1.1000000000000001</v>
      </c>
      <c r="G255" s="978">
        <v>98795</v>
      </c>
      <c r="H255" s="946">
        <v>1</v>
      </c>
      <c r="I255" s="110"/>
      <c r="J255" s="465" t="s">
        <v>27</v>
      </c>
    </row>
    <row r="256" spans="1:11">
      <c r="A256" s="18" t="s">
        <v>714</v>
      </c>
      <c r="B256" s="745" t="s">
        <v>696</v>
      </c>
      <c r="C256" s="978">
        <v>84489</v>
      </c>
      <c r="D256" s="979">
        <v>1.1000000000000001</v>
      </c>
      <c r="E256" s="978">
        <v>95125</v>
      </c>
      <c r="F256" s="979">
        <v>1.1000000000000001</v>
      </c>
      <c r="G256" s="978">
        <v>108317</v>
      </c>
      <c r="H256" s="946">
        <v>1.2</v>
      </c>
      <c r="I256" s="110"/>
      <c r="J256" s="465" t="s">
        <v>27</v>
      </c>
    </row>
    <row r="257" spans="1:12">
      <c r="A257" s="18" t="s">
        <v>715</v>
      </c>
      <c r="B257" s="745" t="s">
        <v>696</v>
      </c>
      <c r="C257" s="978">
        <v>55247</v>
      </c>
      <c r="D257" s="979">
        <v>1.1000000000000001</v>
      </c>
      <c r="E257" s="978">
        <v>64581</v>
      </c>
      <c r="F257" s="979">
        <v>1.1000000000000001</v>
      </c>
      <c r="G257" s="978">
        <v>78493</v>
      </c>
      <c r="H257" s="946">
        <v>1.1000000000000001</v>
      </c>
      <c r="I257" s="110"/>
      <c r="J257" s="465" t="s">
        <v>27</v>
      </c>
    </row>
    <row r="258" spans="1:12">
      <c r="A258" s="18" t="s">
        <v>716</v>
      </c>
      <c r="B258" s="745" t="s">
        <v>696</v>
      </c>
      <c r="C258" s="978">
        <v>50100</v>
      </c>
      <c r="D258" s="979">
        <v>1.1000000000000001</v>
      </c>
      <c r="E258" s="978">
        <v>58425</v>
      </c>
      <c r="F258" s="979">
        <v>1.2</v>
      </c>
      <c r="G258" s="978">
        <v>70945</v>
      </c>
      <c r="H258" s="946">
        <v>1.1000000000000001</v>
      </c>
      <c r="I258" s="110"/>
      <c r="J258" s="465" t="s">
        <v>27</v>
      </c>
    </row>
    <row r="259" spans="1:12">
      <c r="A259" s="683" t="s">
        <v>717</v>
      </c>
      <c r="B259" s="745" t="s">
        <v>696</v>
      </c>
      <c r="C259" s="978"/>
      <c r="D259" s="979"/>
      <c r="E259" s="978">
        <v>52502</v>
      </c>
      <c r="F259" s="979">
        <v>1.2</v>
      </c>
      <c r="G259" s="978"/>
      <c r="H259" s="946"/>
      <c r="I259" s="110"/>
      <c r="J259" s="465" t="s">
        <v>27</v>
      </c>
    </row>
    <row r="260" spans="1:12">
      <c r="A260" s="1056" t="s">
        <v>718</v>
      </c>
      <c r="B260" s="1056"/>
      <c r="C260" s="1056"/>
      <c r="D260" s="1056"/>
      <c r="E260" s="148"/>
      <c r="F260" s="148"/>
      <c r="G260" s="148"/>
      <c r="H260" s="463"/>
    </row>
    <row r="261" spans="1:12" ht="19.350000000000001" customHeight="1">
      <c r="A261" s="1024" t="s">
        <v>719</v>
      </c>
      <c r="B261" s="1024"/>
      <c r="C261" s="1024"/>
      <c r="D261" s="1024"/>
      <c r="E261" s="1024"/>
      <c r="F261" s="1024"/>
      <c r="G261" s="1024"/>
      <c r="H261" s="126"/>
    </row>
    <row r="262" spans="1:12" ht="25.5" customHeight="1">
      <c r="A262" s="1024" t="s">
        <v>720</v>
      </c>
      <c r="B262" s="1024"/>
      <c r="C262" s="1024"/>
      <c r="D262" s="1024"/>
      <c r="E262" s="1024"/>
      <c r="F262" s="1024"/>
      <c r="G262" s="1024"/>
      <c r="H262" s="126"/>
    </row>
    <row r="263" spans="1:12" ht="131.1" customHeight="1">
      <c r="A263" s="1024" t="s">
        <v>840</v>
      </c>
      <c r="B263" s="1024"/>
      <c r="C263" s="1024"/>
      <c r="D263" s="1024"/>
      <c r="E263" s="1024"/>
      <c r="F263" s="1024"/>
      <c r="G263" s="1024"/>
      <c r="H263" s="126"/>
    </row>
    <row r="264" spans="1:12">
      <c r="A264" s="148"/>
      <c r="B264" s="148"/>
      <c r="C264" s="148"/>
      <c r="D264" s="148"/>
      <c r="E264" s="148"/>
      <c r="F264" s="148"/>
      <c r="G264" s="148"/>
      <c r="H264" s="463"/>
    </row>
    <row r="265" spans="1:12" ht="35.1" customHeight="1">
      <c r="A265" s="112" t="s">
        <v>721</v>
      </c>
      <c r="B265" s="112"/>
      <c r="C265" s="112"/>
      <c r="D265" s="113"/>
      <c r="E265" s="113"/>
      <c r="F265" s="113"/>
      <c r="G265" s="113"/>
    </row>
    <row r="266" spans="1:12">
      <c r="A266" s="382" t="s">
        <v>143</v>
      </c>
      <c r="B266" s="381" t="s">
        <v>66</v>
      </c>
      <c r="C266" s="210">
        <v>2020</v>
      </c>
      <c r="D266" s="210">
        <v>2021</v>
      </c>
      <c r="E266" s="481">
        <v>2022</v>
      </c>
      <c r="F266" s="481">
        <v>2023</v>
      </c>
      <c r="G266" s="210">
        <v>2024</v>
      </c>
    </row>
    <row r="267" spans="1:12">
      <c r="A267" s="74" t="s">
        <v>163</v>
      </c>
      <c r="B267" s="57" t="s">
        <v>212</v>
      </c>
      <c r="C267" s="675">
        <v>151528</v>
      </c>
      <c r="D267" s="675">
        <v>169235</v>
      </c>
      <c r="E267" s="675">
        <v>180464.17600000001</v>
      </c>
      <c r="F267" s="675">
        <v>213774.5</v>
      </c>
      <c r="G267" s="984">
        <v>260085.69700000001</v>
      </c>
      <c r="H267" s="116"/>
      <c r="I267" s="116"/>
      <c r="J267" s="470" t="s">
        <v>685</v>
      </c>
    </row>
    <row r="268" spans="1:12" ht="22.5">
      <c r="A268" s="52" t="s">
        <v>722</v>
      </c>
      <c r="B268" s="57" t="s">
        <v>212</v>
      </c>
      <c r="C268" s="874">
        <v>142809</v>
      </c>
      <c r="D268" s="874">
        <v>159842</v>
      </c>
      <c r="E268" s="874">
        <v>170214.17600000001</v>
      </c>
      <c r="F268" s="874">
        <v>201672</v>
      </c>
      <c r="G268" s="985">
        <v>245556.26500000001</v>
      </c>
      <c r="H268" s="982"/>
      <c r="I268" s="116"/>
      <c r="J268" s="471" t="s">
        <v>723</v>
      </c>
    </row>
    <row r="269" spans="1:12" ht="25.5">
      <c r="A269" s="52" t="s">
        <v>724</v>
      </c>
      <c r="B269" s="57" t="s">
        <v>212</v>
      </c>
      <c r="C269" s="823">
        <v>7977</v>
      </c>
      <c r="D269" s="823">
        <v>8539</v>
      </c>
      <c r="E269" s="823">
        <v>9222</v>
      </c>
      <c r="F269" s="823">
        <v>10918</v>
      </c>
      <c r="G269" s="983">
        <v>13144.7</v>
      </c>
      <c r="H269" s="116"/>
      <c r="I269" s="116"/>
      <c r="J269" s="471" t="s">
        <v>27</v>
      </c>
      <c r="L269" s="568"/>
    </row>
    <row r="270" spans="1:12" ht="22.5">
      <c r="A270" s="52" t="s">
        <v>725</v>
      </c>
      <c r="B270" s="57" t="s">
        <v>212</v>
      </c>
      <c r="C270" s="874">
        <v>742</v>
      </c>
      <c r="D270" s="823">
        <v>854</v>
      </c>
      <c r="E270" s="823">
        <v>1028</v>
      </c>
      <c r="F270" s="823">
        <v>1184.5</v>
      </c>
      <c r="G270" s="983">
        <v>1384.732</v>
      </c>
      <c r="H270" s="116"/>
      <c r="I270" s="116"/>
      <c r="J270" s="471" t="s">
        <v>726</v>
      </c>
    </row>
    <row r="271" spans="1:12">
      <c r="A271" s="74" t="s">
        <v>727</v>
      </c>
      <c r="B271" s="262" t="s">
        <v>212</v>
      </c>
      <c r="C271" s="675">
        <v>107432</v>
      </c>
      <c r="D271" s="675">
        <v>121705</v>
      </c>
      <c r="E271" s="675">
        <v>137040.94099999999</v>
      </c>
      <c r="F271" s="675">
        <v>159474.70000000001</v>
      </c>
      <c r="G271" s="675">
        <v>196872.53400000001</v>
      </c>
      <c r="H271" s="110"/>
      <c r="I271" s="110"/>
      <c r="J271" s="462" t="s">
        <v>27</v>
      </c>
    </row>
    <row r="272" spans="1:12">
      <c r="A272" s="52" t="s">
        <v>722</v>
      </c>
      <c r="B272" s="57" t="s">
        <v>212</v>
      </c>
      <c r="C272" s="874">
        <v>101446</v>
      </c>
      <c r="D272" s="874">
        <v>115006</v>
      </c>
      <c r="E272" s="874">
        <v>129477.94100000001</v>
      </c>
      <c r="F272" s="874">
        <v>150743</v>
      </c>
      <c r="G272" s="874">
        <v>186595.1</v>
      </c>
      <c r="H272" s="110"/>
      <c r="I272" s="110"/>
      <c r="J272" s="462" t="s">
        <v>27</v>
      </c>
    </row>
    <row r="273" spans="1:10" ht="25.5">
      <c r="A273" s="52" t="s">
        <v>724</v>
      </c>
      <c r="B273" s="57" t="s">
        <v>212</v>
      </c>
      <c r="C273" s="874">
        <v>5403</v>
      </c>
      <c r="D273" s="874">
        <v>5995</v>
      </c>
      <c r="E273" s="823">
        <v>6702</v>
      </c>
      <c r="F273" s="823">
        <v>7750</v>
      </c>
      <c r="G273" s="823">
        <v>9194</v>
      </c>
      <c r="H273" s="110"/>
      <c r="I273" s="110"/>
      <c r="J273" s="462" t="s">
        <v>27</v>
      </c>
    </row>
    <row r="274" spans="1:10" ht="22.5">
      <c r="A274" s="52" t="s">
        <v>725</v>
      </c>
      <c r="B274" s="57" t="s">
        <v>212</v>
      </c>
      <c r="C274" s="874">
        <v>583</v>
      </c>
      <c r="D274" s="823">
        <v>704</v>
      </c>
      <c r="E274" s="823">
        <v>861</v>
      </c>
      <c r="F274" s="823">
        <v>981.7</v>
      </c>
      <c r="G274" s="823">
        <v>1083.434</v>
      </c>
      <c r="H274" s="110"/>
      <c r="I274" s="110"/>
      <c r="J274" s="462" t="s">
        <v>728</v>
      </c>
    </row>
    <row r="275" spans="1:10" ht="16.350000000000001" customHeight="1">
      <c r="A275" s="173" t="s">
        <v>79</v>
      </c>
      <c r="B275" s="167"/>
      <c r="C275" s="165"/>
      <c r="D275" s="178"/>
      <c r="E275" s="178"/>
      <c r="F275" s="178"/>
      <c r="G275" s="178"/>
      <c r="H275" s="463"/>
    </row>
    <row r="276" spans="1:10" ht="40.35" customHeight="1">
      <c r="A276" s="1024" t="s">
        <v>729</v>
      </c>
      <c r="B276" s="1024"/>
      <c r="C276" s="1024"/>
      <c r="D276" s="1024"/>
      <c r="E276" s="1024"/>
      <c r="F276" s="1024"/>
      <c r="G276" s="1024"/>
      <c r="H276" s="463"/>
    </row>
    <row r="277" spans="1:10" s="6" customFormat="1" ht="34.35" customHeight="1">
      <c r="A277" s="1030" t="s">
        <v>826</v>
      </c>
      <c r="B277" s="1030"/>
      <c r="C277" s="1030"/>
      <c r="D277" s="1030"/>
      <c r="E277" s="1030"/>
      <c r="F277" s="1030"/>
      <c r="G277" s="1030"/>
      <c r="H277" s="605"/>
      <c r="I277" s="605"/>
      <c r="J277" s="605"/>
    </row>
  </sheetData>
  <mergeCells count="17">
    <mergeCell ref="A14:G14"/>
    <mergeCell ref="A194:G194"/>
    <mergeCell ref="A196:G196"/>
    <mergeCell ref="A195:G195"/>
    <mergeCell ref="A177:G177"/>
    <mergeCell ref="A169:G169"/>
    <mergeCell ref="A15:C15"/>
    <mergeCell ref="A38:D38"/>
    <mergeCell ref="A137:G137"/>
    <mergeCell ref="A36:G36"/>
    <mergeCell ref="A218:G218"/>
    <mergeCell ref="A260:D260"/>
    <mergeCell ref="A276:G276"/>
    <mergeCell ref="A277:G277"/>
    <mergeCell ref="A261:G261"/>
    <mergeCell ref="A262:G262"/>
    <mergeCell ref="A263:G263"/>
  </mergeCells>
  <conditionalFormatting sqref="A13">
    <cfRule type="duplicateValues" dxfId="31" priority="9"/>
  </conditionalFormatting>
  <conditionalFormatting sqref="A35">
    <cfRule type="duplicateValues" dxfId="30" priority="8"/>
  </conditionalFormatting>
  <conditionalFormatting sqref="A68">
    <cfRule type="duplicateValues" dxfId="29" priority="2"/>
  </conditionalFormatting>
  <conditionalFormatting sqref="A72:A73 A80">
    <cfRule type="duplicateValues" dxfId="28" priority="74"/>
  </conditionalFormatting>
  <conditionalFormatting sqref="A75:A76">
    <cfRule type="duplicateValues" dxfId="27" priority="7"/>
  </conditionalFormatting>
  <conditionalFormatting sqref="A82">
    <cfRule type="duplicateValues" dxfId="26" priority="4"/>
  </conditionalFormatting>
  <conditionalFormatting sqref="A85:A89 A83 A69:A70 A53">
    <cfRule type="duplicateValues" dxfId="25" priority="40"/>
  </conditionalFormatting>
  <conditionalFormatting sqref="A91:A94">
    <cfRule type="duplicateValues" dxfId="24" priority="76"/>
  </conditionalFormatting>
  <conditionalFormatting sqref="A112">
    <cfRule type="duplicateValues" dxfId="23" priority="6"/>
  </conditionalFormatting>
  <conditionalFormatting sqref="A114:A118 A97 A98:B98 A106 A113:B113">
    <cfRule type="duplicateValues" dxfId="22" priority="42"/>
  </conditionalFormatting>
  <conditionalFormatting sqref="A119:A122">
    <cfRule type="duplicateValues" dxfId="21" priority="27"/>
  </conditionalFormatting>
  <conditionalFormatting sqref="A123">
    <cfRule type="duplicateValues" dxfId="20" priority="36"/>
  </conditionalFormatting>
  <conditionalFormatting sqref="A136">
    <cfRule type="duplicateValues" dxfId="19" priority="21"/>
  </conditionalFormatting>
  <conditionalFormatting sqref="A140:A147 A128:B128 A138:B138 B142">
    <cfRule type="duplicateValues" dxfId="18" priority="41"/>
  </conditionalFormatting>
  <conditionalFormatting sqref="A148:A151">
    <cfRule type="duplicateValues" dxfId="17" priority="75"/>
  </conditionalFormatting>
  <conditionalFormatting sqref="A152:A153">
    <cfRule type="duplicateValues" dxfId="16" priority="78"/>
  </conditionalFormatting>
  <conditionalFormatting sqref="A168">
    <cfRule type="duplicateValues" dxfId="15" priority="20"/>
  </conditionalFormatting>
  <conditionalFormatting sqref="A169">
    <cfRule type="duplicateValues" dxfId="14" priority="18"/>
  </conditionalFormatting>
  <conditionalFormatting sqref="A177">
    <cfRule type="duplicateValues" dxfId="13" priority="77"/>
  </conditionalFormatting>
  <conditionalFormatting sqref="A193">
    <cfRule type="duplicateValues" dxfId="12" priority="19"/>
  </conditionalFormatting>
  <conditionalFormatting sqref="A194:A195">
    <cfRule type="duplicateValues" dxfId="11" priority="16"/>
  </conditionalFormatting>
  <conditionalFormatting sqref="A196">
    <cfRule type="duplicateValues" dxfId="10" priority="10"/>
  </conditionalFormatting>
  <conditionalFormatting sqref="A51:B51">
    <cfRule type="duplicateValues" dxfId="9" priority="54"/>
  </conditionalFormatting>
  <conditionalFormatting sqref="B9">
    <cfRule type="duplicateValues" dxfId="8" priority="25"/>
  </conditionalFormatting>
  <conditionalFormatting sqref="B17">
    <cfRule type="duplicateValues" dxfId="7" priority="15"/>
  </conditionalFormatting>
  <conditionalFormatting sqref="B25">
    <cfRule type="duplicateValues" dxfId="6" priority="14"/>
  </conditionalFormatting>
  <conditionalFormatting sqref="B39">
    <cfRule type="duplicateValues" dxfId="5" priority="13"/>
  </conditionalFormatting>
  <conditionalFormatting sqref="B53:B54">
    <cfRule type="duplicateValues" dxfId="4" priority="12"/>
  </conditionalFormatting>
  <conditionalFormatting sqref="B68">
    <cfRule type="duplicateValues" dxfId="3" priority="1"/>
  </conditionalFormatting>
  <conditionalFormatting sqref="B82">
    <cfRule type="duplicateValues" dxfId="2" priority="3"/>
  </conditionalFormatting>
  <conditionalFormatting sqref="B97">
    <cfRule type="duplicateValues" dxfId="1" priority="11"/>
  </conditionalFormatting>
  <conditionalFormatting sqref="B112">
    <cfRule type="duplicateValues" dxfId="0" priority="5"/>
  </conditionalFormatting>
  <hyperlinks>
    <hyperlink ref="A2" location="'Employees'!A7" display="Численность и характеристики персонала" xr:uid="{00000000-0004-0000-0900-000003000000}"/>
    <hyperlink ref="A3" location="'Employees'!A174" display="Социальная поддержка" xr:uid="{5679CA6A-A11F-DC4A-9716-2FAC4A457D57}"/>
    <hyperlink ref="A4" location="'Employees'!A208" display="Обучение" xr:uid="{ADD71976-095F-C84A-88CF-768353F02E59}"/>
    <hyperlink ref="A5" location="'Employees'!A235" display="Оплата труда" xr:uid="{F3F0992C-7AA6-5A4C-A733-5F9146DDBFC4}"/>
  </hyperlinks>
  <pageMargins left="0.7" right="0.7" top="0.75" bottom="0.75" header="0.3" footer="0.3"/>
  <pageSetup paperSize="9" orientation="landscape" r:id="rId1"/>
  <ignoredErrors>
    <ignoredError sqref="C140" numberStoredAsText="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83"/>
  <sheetViews>
    <sheetView topLeftCell="A52" zoomScale="110" zoomScaleNormal="110" workbookViewId="0">
      <selection activeCell="I21" sqref="I21"/>
    </sheetView>
  </sheetViews>
  <sheetFormatPr defaultColWidth="11" defaultRowHeight="15.75"/>
  <cols>
    <col min="1" max="1" width="53.5" style="144" customWidth="1"/>
    <col min="2" max="2" width="10.5" style="145" customWidth="1"/>
    <col min="3" max="7" width="11" style="3"/>
    <col min="8" max="8" width="10.625" style="465" customWidth="1"/>
    <col min="9" max="10" width="10.625" style="469" customWidth="1"/>
  </cols>
  <sheetData>
    <row r="1" spans="1:10" ht="22.5" customHeight="1">
      <c r="A1" s="294" t="s">
        <v>730</v>
      </c>
      <c r="B1" s="294"/>
      <c r="C1" s="294"/>
    </row>
    <row r="2" spans="1:10" ht="16.350000000000001" customHeight="1">
      <c r="F2" s="618"/>
      <c r="G2" s="618"/>
      <c r="H2" s="540" t="s">
        <v>61</v>
      </c>
    </row>
    <row r="3" spans="1:10" ht="28.35" customHeight="1">
      <c r="A3" s="95" t="s">
        <v>731</v>
      </c>
      <c r="B3" s="622"/>
      <c r="C3" s="621"/>
      <c r="D3" s="621"/>
      <c r="E3" s="621"/>
      <c r="F3" s="621"/>
      <c r="G3" s="621"/>
      <c r="H3" s="132" t="s">
        <v>63</v>
      </c>
      <c r="I3" s="132" t="s">
        <v>25</v>
      </c>
      <c r="J3" s="132" t="s">
        <v>64</v>
      </c>
    </row>
    <row r="4" spans="1:10" ht="20.100000000000001" customHeight="1">
      <c r="A4" s="382" t="s">
        <v>143</v>
      </c>
      <c r="B4" s="374" t="s">
        <v>66</v>
      </c>
      <c r="C4" s="201">
        <v>2020</v>
      </c>
      <c r="D4" s="201">
        <v>2021</v>
      </c>
      <c r="E4" s="201">
        <v>2022</v>
      </c>
      <c r="F4" s="441">
        <v>2023</v>
      </c>
      <c r="G4" s="200">
        <v>2024</v>
      </c>
      <c r="H4" s="483"/>
    </row>
    <row r="5" spans="1:10" ht="16.350000000000001" customHeight="1">
      <c r="A5" s="213" t="s">
        <v>732</v>
      </c>
      <c r="B5" s="623" t="s">
        <v>494</v>
      </c>
      <c r="C5" s="624">
        <v>1</v>
      </c>
      <c r="D5" s="625">
        <v>1</v>
      </c>
      <c r="E5" s="625">
        <v>1</v>
      </c>
      <c r="F5" s="431">
        <v>1</v>
      </c>
      <c r="G5" s="268">
        <v>1</v>
      </c>
      <c r="H5" s="483" t="s">
        <v>733</v>
      </c>
      <c r="I5" s="110"/>
      <c r="J5" s="110"/>
    </row>
    <row r="6" spans="1:10" ht="16.350000000000001" customHeight="1">
      <c r="A6" s="501" t="s">
        <v>734</v>
      </c>
      <c r="B6" s="186" t="s">
        <v>494</v>
      </c>
      <c r="C6" s="43" t="s">
        <v>735</v>
      </c>
      <c r="D6" s="268" t="s">
        <v>735</v>
      </c>
      <c r="E6" s="268" t="s">
        <v>735</v>
      </c>
      <c r="F6" s="431" t="s">
        <v>735</v>
      </c>
      <c r="G6" s="268" t="s">
        <v>735</v>
      </c>
      <c r="H6" s="483" t="s">
        <v>733</v>
      </c>
      <c r="I6" s="110"/>
      <c r="J6" s="110"/>
    </row>
    <row r="7" spans="1:10" ht="16.350000000000001" customHeight="1">
      <c r="A7" s="215" t="s">
        <v>736</v>
      </c>
      <c r="B7" s="186" t="s">
        <v>494</v>
      </c>
      <c r="C7" s="868">
        <v>6</v>
      </c>
      <c r="D7" s="863">
        <v>6</v>
      </c>
      <c r="E7" s="863">
        <v>3</v>
      </c>
      <c r="F7" s="863">
        <v>3</v>
      </c>
      <c r="G7" s="863">
        <v>3</v>
      </c>
      <c r="H7" s="483" t="s">
        <v>733</v>
      </c>
      <c r="I7" s="110"/>
      <c r="J7" s="110"/>
    </row>
    <row r="8" spans="1:10" ht="16.350000000000001" customHeight="1">
      <c r="A8" s="216" t="s">
        <v>737</v>
      </c>
      <c r="B8" s="186" t="s">
        <v>494</v>
      </c>
      <c r="C8" s="868">
        <v>3</v>
      </c>
      <c r="D8" s="863">
        <v>3</v>
      </c>
      <c r="E8" s="863">
        <v>3</v>
      </c>
      <c r="F8" s="863">
        <v>5</v>
      </c>
      <c r="G8" s="863">
        <v>4</v>
      </c>
      <c r="H8" s="483" t="s">
        <v>733</v>
      </c>
      <c r="I8" s="110"/>
      <c r="J8" s="110"/>
    </row>
    <row r="9" spans="1:10" ht="16.350000000000001" customHeight="1">
      <c r="A9" s="217" t="s">
        <v>738</v>
      </c>
      <c r="B9" s="186" t="s">
        <v>494</v>
      </c>
      <c r="C9" s="868">
        <v>2</v>
      </c>
      <c r="D9" s="863">
        <v>2</v>
      </c>
      <c r="E9" s="863">
        <v>3</v>
      </c>
      <c r="F9" s="863">
        <v>1</v>
      </c>
      <c r="G9" s="863">
        <v>2</v>
      </c>
      <c r="H9" s="483" t="s">
        <v>733</v>
      </c>
      <c r="I9" s="110"/>
      <c r="J9" s="110"/>
    </row>
    <row r="10" spans="1:10" ht="16.350000000000001" customHeight="1">
      <c r="A10" s="218" t="s">
        <v>739</v>
      </c>
      <c r="B10" s="186" t="s">
        <v>494</v>
      </c>
      <c r="C10" s="868">
        <v>11</v>
      </c>
      <c r="D10" s="863">
        <v>11</v>
      </c>
      <c r="E10" s="863">
        <v>9</v>
      </c>
      <c r="F10" s="863">
        <v>9</v>
      </c>
      <c r="G10" s="863">
        <v>9</v>
      </c>
      <c r="H10" s="483" t="s">
        <v>733</v>
      </c>
      <c r="I10" s="110"/>
      <c r="J10" s="464" t="s">
        <v>740</v>
      </c>
    </row>
    <row r="11" spans="1:10" ht="16.350000000000001" customHeight="1">
      <c r="A11" s="218" t="s">
        <v>741</v>
      </c>
      <c r="B11" s="219" t="s">
        <v>90</v>
      </c>
      <c r="C11" s="841">
        <v>55</v>
      </c>
      <c r="D11" s="842">
        <v>55</v>
      </c>
      <c r="E11" s="842">
        <v>33.333333333333329</v>
      </c>
      <c r="F11" s="842">
        <v>33</v>
      </c>
      <c r="G11" s="842">
        <v>33</v>
      </c>
      <c r="H11" s="483" t="s">
        <v>733</v>
      </c>
      <c r="I11" s="110"/>
      <c r="J11" s="110"/>
    </row>
    <row r="12" spans="1:10" ht="25.5">
      <c r="A12" s="327" t="s">
        <v>742</v>
      </c>
      <c r="B12" s="221" t="s">
        <v>743</v>
      </c>
      <c r="C12" s="868">
        <v>13</v>
      </c>
      <c r="D12" s="863">
        <v>20</v>
      </c>
      <c r="E12" s="868">
        <v>24</v>
      </c>
      <c r="F12" s="868">
        <v>21</v>
      </c>
      <c r="G12" s="868">
        <v>21</v>
      </c>
      <c r="H12" s="483" t="s">
        <v>733</v>
      </c>
      <c r="I12" s="110"/>
      <c r="J12" s="483" t="s">
        <v>744</v>
      </c>
    </row>
    <row r="13" spans="1:10">
      <c r="A13" s="617" t="s">
        <v>745</v>
      </c>
      <c r="B13" s="626"/>
      <c r="C13" s="163"/>
      <c r="D13" s="627"/>
      <c r="E13" s="163"/>
      <c r="F13" s="163"/>
      <c r="G13" s="110"/>
      <c r="H13" s="483"/>
      <c r="I13" s="110"/>
      <c r="J13" s="483"/>
    </row>
    <row r="14" spans="1:10" ht="41.1" customHeight="1">
      <c r="A14" s="1066" t="s">
        <v>746</v>
      </c>
      <c r="B14" s="1066"/>
      <c r="C14" s="1066"/>
      <c r="D14" s="1066"/>
      <c r="E14" s="1066"/>
      <c r="F14" s="1066"/>
      <c r="G14" s="1066"/>
      <c r="H14" s="483"/>
      <c r="I14" s="110"/>
      <c r="J14" s="483"/>
    </row>
    <row r="15" spans="1:10" ht="20.100000000000001" customHeight="1">
      <c r="A15" s="628" t="s">
        <v>747</v>
      </c>
      <c r="B15" s="629"/>
      <c r="C15" s="606"/>
      <c r="D15" s="484"/>
      <c r="E15" s="484"/>
      <c r="F15" s="484"/>
      <c r="G15" s="411"/>
    </row>
    <row r="16" spans="1:10" ht="26.25">
      <c r="A16" s="88" t="s">
        <v>748</v>
      </c>
      <c r="B16" s="195" t="s">
        <v>90</v>
      </c>
      <c r="C16" s="841">
        <v>50</v>
      </c>
      <c r="D16" s="842">
        <v>50</v>
      </c>
      <c r="E16" s="842">
        <v>33</v>
      </c>
      <c r="F16" s="842">
        <v>20</v>
      </c>
      <c r="G16" s="842">
        <v>20</v>
      </c>
      <c r="H16" s="483" t="s">
        <v>733</v>
      </c>
      <c r="I16" s="110"/>
      <c r="J16" s="110"/>
    </row>
    <row r="17" spans="1:10">
      <c r="A17" s="42" t="s">
        <v>749</v>
      </c>
      <c r="B17" s="43" t="s">
        <v>90</v>
      </c>
      <c r="C17" s="841">
        <v>100</v>
      </c>
      <c r="D17" s="842">
        <v>100</v>
      </c>
      <c r="E17" s="842">
        <v>66.666666666666657</v>
      </c>
      <c r="F17" s="842">
        <v>67</v>
      </c>
      <c r="G17" s="842">
        <v>67</v>
      </c>
      <c r="H17" s="483" t="s">
        <v>733</v>
      </c>
      <c r="I17" s="110"/>
      <c r="J17" s="110"/>
    </row>
    <row r="18" spans="1:10">
      <c r="A18" s="88" t="s">
        <v>750</v>
      </c>
      <c r="B18" s="195" t="s">
        <v>90</v>
      </c>
      <c r="C18" s="841">
        <v>100</v>
      </c>
      <c r="D18" s="842">
        <v>100</v>
      </c>
      <c r="E18" s="842">
        <v>66.666666666666657</v>
      </c>
      <c r="F18" s="842">
        <v>67</v>
      </c>
      <c r="G18" s="842">
        <v>67</v>
      </c>
      <c r="H18" s="483" t="s">
        <v>733</v>
      </c>
      <c r="I18" s="110"/>
      <c r="J18" s="110"/>
    </row>
    <row r="19" spans="1:10" ht="20.100000000000001" customHeight="1">
      <c r="A19" s="415" t="s">
        <v>751</v>
      </c>
      <c r="B19" s="414"/>
      <c r="C19" s="947"/>
      <c r="D19" s="948"/>
      <c r="E19" s="948"/>
      <c r="F19" s="948"/>
      <c r="G19" s="948"/>
    </row>
    <row r="20" spans="1:10" ht="16.350000000000001" customHeight="1">
      <c r="A20" s="223" t="s">
        <v>752</v>
      </c>
      <c r="B20" s="186" t="s">
        <v>494</v>
      </c>
      <c r="C20" s="868">
        <v>9</v>
      </c>
      <c r="D20" s="863">
        <v>9</v>
      </c>
      <c r="E20" s="863">
        <v>8</v>
      </c>
      <c r="F20" s="863">
        <v>7</v>
      </c>
      <c r="G20" s="863">
        <v>7</v>
      </c>
      <c r="H20" s="483" t="s">
        <v>584</v>
      </c>
      <c r="I20" s="110"/>
      <c r="J20" s="464" t="s">
        <v>633</v>
      </c>
    </row>
    <row r="21" spans="1:10" ht="22.5">
      <c r="A21" s="223" t="s">
        <v>753</v>
      </c>
      <c r="B21" s="186" t="s">
        <v>494</v>
      </c>
      <c r="C21" s="868">
        <v>2</v>
      </c>
      <c r="D21" s="863">
        <v>2</v>
      </c>
      <c r="E21" s="863">
        <v>1</v>
      </c>
      <c r="F21" s="863">
        <v>2</v>
      </c>
      <c r="G21" s="863">
        <v>2</v>
      </c>
      <c r="H21" s="483" t="s">
        <v>584</v>
      </c>
      <c r="I21" s="110"/>
      <c r="J21" s="483" t="s">
        <v>831</v>
      </c>
    </row>
    <row r="22" spans="1:10" ht="16.350000000000001" customHeight="1">
      <c r="A22" s="220" t="s">
        <v>755</v>
      </c>
      <c r="B22" s="221" t="s">
        <v>90</v>
      </c>
      <c r="C22" s="841">
        <v>18</v>
      </c>
      <c r="D22" s="842">
        <v>18</v>
      </c>
      <c r="E22" s="842">
        <v>11.111111111111111</v>
      </c>
      <c r="F22" s="842">
        <v>22</v>
      </c>
      <c r="G22" s="842">
        <v>22</v>
      </c>
      <c r="H22" s="483" t="s">
        <v>584</v>
      </c>
      <c r="I22" s="110"/>
      <c r="J22" s="465" t="s">
        <v>754</v>
      </c>
    </row>
    <row r="23" spans="1:10" ht="16.350000000000001" customHeight="1">
      <c r="A23" s="415" t="s">
        <v>756</v>
      </c>
      <c r="B23" s="735"/>
      <c r="C23" s="949"/>
      <c r="D23" s="950"/>
      <c r="E23" s="950"/>
      <c r="F23" s="950"/>
      <c r="G23" s="950"/>
      <c r="H23" s="483"/>
      <c r="I23" s="110"/>
      <c r="J23" s="465"/>
    </row>
    <row r="24" spans="1:10" ht="16.350000000000001" customHeight="1">
      <c r="A24" s="772" t="s">
        <v>757</v>
      </c>
      <c r="B24" s="221"/>
      <c r="C24" s="841"/>
      <c r="D24" s="842"/>
      <c r="E24" s="842"/>
      <c r="F24" s="842">
        <v>0</v>
      </c>
      <c r="G24" s="842">
        <v>0</v>
      </c>
      <c r="H24" s="483" t="s">
        <v>733</v>
      </c>
      <c r="I24" s="110"/>
      <c r="J24" s="465"/>
    </row>
    <row r="25" spans="1:10" ht="16.350000000000001" customHeight="1">
      <c r="A25" s="772" t="s">
        <v>758</v>
      </c>
      <c r="B25" s="221"/>
      <c r="C25" s="841"/>
      <c r="D25" s="842"/>
      <c r="E25" s="842"/>
      <c r="F25" s="842">
        <v>0</v>
      </c>
      <c r="G25" s="842">
        <v>0</v>
      </c>
      <c r="H25" s="483" t="s">
        <v>733</v>
      </c>
      <c r="I25" s="110"/>
      <c r="J25" s="465"/>
    </row>
    <row r="26" spans="1:10" ht="16.350000000000001" customHeight="1">
      <c r="A26" s="772" t="s">
        <v>759</v>
      </c>
      <c r="B26" s="221"/>
      <c r="C26" s="841"/>
      <c r="D26" s="842"/>
      <c r="E26" s="842"/>
      <c r="F26" s="863">
        <v>9</v>
      </c>
      <c r="G26" s="842">
        <v>9</v>
      </c>
      <c r="H26" s="483" t="s">
        <v>733</v>
      </c>
      <c r="I26" s="110"/>
      <c r="J26" s="465"/>
    </row>
    <row r="27" spans="1:10" ht="20.100000000000001" customHeight="1">
      <c r="A27" s="415" t="s">
        <v>760</v>
      </c>
      <c r="B27" s="414"/>
      <c r="C27" s="951"/>
      <c r="D27" s="952"/>
      <c r="E27" s="952"/>
      <c r="F27" s="952"/>
      <c r="G27" s="952"/>
      <c r="H27" s="483"/>
      <c r="I27" s="110"/>
      <c r="J27" s="110"/>
    </row>
    <row r="28" spans="1:10" ht="39" customHeight="1">
      <c r="A28" s="307" t="s">
        <v>761</v>
      </c>
      <c r="B28" s="308" t="s">
        <v>90</v>
      </c>
      <c r="C28" s="841">
        <v>91</v>
      </c>
      <c r="D28" s="841">
        <v>75</v>
      </c>
      <c r="E28" s="841">
        <v>83</v>
      </c>
      <c r="F28" s="841">
        <v>63</v>
      </c>
      <c r="G28" s="841">
        <v>75</v>
      </c>
      <c r="H28" s="483" t="s">
        <v>733</v>
      </c>
      <c r="I28" s="110"/>
      <c r="J28" s="110"/>
    </row>
    <row r="29" spans="1:10" ht="20.100000000000001" customHeight="1">
      <c r="A29" s="1067" t="s">
        <v>827</v>
      </c>
      <c r="B29" s="1068"/>
      <c r="C29" s="1068"/>
      <c r="D29" s="1068"/>
      <c r="E29" s="1068"/>
      <c r="F29" s="1068"/>
      <c r="G29" s="1069"/>
      <c r="H29" s="483"/>
      <c r="I29" s="110"/>
      <c r="J29" s="110"/>
    </row>
    <row r="30" spans="1:10" ht="20.100000000000001" customHeight="1">
      <c r="A30" s="408" t="s">
        <v>762</v>
      </c>
      <c r="B30" s="409"/>
      <c r="C30" s="413"/>
      <c r="D30" s="411"/>
      <c r="E30" s="484"/>
      <c r="F30" s="484"/>
      <c r="G30" s="411"/>
    </row>
    <row r="31" spans="1:10">
      <c r="A31" s="220" t="s">
        <v>763</v>
      </c>
      <c r="B31" s="186" t="s">
        <v>494</v>
      </c>
      <c r="C31" s="953">
        <v>4</v>
      </c>
      <c r="D31" s="863">
        <v>4</v>
      </c>
      <c r="E31" s="863">
        <v>3</v>
      </c>
      <c r="F31" s="863">
        <v>5</v>
      </c>
      <c r="G31" s="863">
        <v>5</v>
      </c>
      <c r="H31" s="483" t="s">
        <v>733</v>
      </c>
      <c r="I31" s="110"/>
      <c r="J31" s="110"/>
    </row>
    <row r="32" spans="1:10">
      <c r="A32" s="220" t="s">
        <v>764</v>
      </c>
      <c r="B32" s="221" t="s">
        <v>765</v>
      </c>
      <c r="C32" s="868">
        <v>7</v>
      </c>
      <c r="D32" s="863">
        <v>8</v>
      </c>
      <c r="E32" s="863">
        <v>8</v>
      </c>
      <c r="F32" s="863">
        <v>5</v>
      </c>
      <c r="G32" s="863">
        <v>7</v>
      </c>
      <c r="H32" s="483" t="s">
        <v>733</v>
      </c>
      <c r="I32" s="110"/>
      <c r="J32" s="465" t="s">
        <v>766</v>
      </c>
    </row>
    <row r="33" spans="1:12">
      <c r="A33" s="220" t="s">
        <v>767</v>
      </c>
      <c r="B33" s="221" t="s">
        <v>743</v>
      </c>
      <c r="C33" s="868">
        <v>10</v>
      </c>
      <c r="D33" s="863">
        <v>11</v>
      </c>
      <c r="E33" s="863">
        <v>12</v>
      </c>
      <c r="F33" s="868">
        <v>10</v>
      </c>
      <c r="G33" s="868">
        <v>11</v>
      </c>
      <c r="H33" s="483" t="s">
        <v>733</v>
      </c>
      <c r="I33" s="110"/>
      <c r="J33" s="464" t="s">
        <v>27</v>
      </c>
    </row>
    <row r="34" spans="1:12" ht="16.350000000000001" customHeight="1">
      <c r="A34" s="220" t="s">
        <v>755</v>
      </c>
      <c r="B34" s="221" t="s">
        <v>90</v>
      </c>
      <c r="C34" s="841">
        <v>25</v>
      </c>
      <c r="D34" s="842">
        <v>25</v>
      </c>
      <c r="E34" s="842">
        <v>0</v>
      </c>
      <c r="F34" s="842">
        <v>20</v>
      </c>
      <c r="G34" s="842">
        <v>20</v>
      </c>
      <c r="H34" s="483" t="s">
        <v>584</v>
      </c>
      <c r="I34" s="110"/>
      <c r="J34" s="465" t="s">
        <v>754</v>
      </c>
    </row>
    <row r="35" spans="1:12" ht="20.100000000000001" customHeight="1">
      <c r="A35" s="410" t="s">
        <v>768</v>
      </c>
      <c r="B35" s="417"/>
      <c r="C35" s="418"/>
      <c r="D35" s="416"/>
      <c r="E35" s="485"/>
      <c r="F35" s="485"/>
      <c r="G35" s="416"/>
      <c r="H35" s="483"/>
      <c r="I35" s="110"/>
      <c r="J35" s="110"/>
    </row>
    <row r="36" spans="1:12" ht="31.5" customHeight="1">
      <c r="A36" s="791" t="s">
        <v>769</v>
      </c>
      <c r="B36" s="186" t="s">
        <v>494</v>
      </c>
      <c r="C36" s="302">
        <v>1</v>
      </c>
      <c r="D36" s="268">
        <v>1</v>
      </c>
      <c r="E36" s="268">
        <v>1</v>
      </c>
      <c r="F36" s="431">
        <v>1</v>
      </c>
      <c r="G36" s="268">
        <v>1</v>
      </c>
      <c r="H36" s="483" t="s">
        <v>733</v>
      </c>
      <c r="I36" s="110"/>
      <c r="J36" s="110"/>
    </row>
    <row r="37" spans="1:12" ht="20.100000000000001" customHeight="1">
      <c r="A37" s="771" t="s">
        <v>770</v>
      </c>
      <c r="B37" s="412"/>
      <c r="C37" s="408"/>
      <c r="D37" s="411"/>
      <c r="E37" s="484"/>
      <c r="F37" s="484"/>
      <c r="G37" s="411"/>
      <c r="L37" s="703"/>
    </row>
    <row r="38" spans="1:12">
      <c r="A38" s="220" t="s">
        <v>763</v>
      </c>
      <c r="B38" s="221" t="s">
        <v>494</v>
      </c>
      <c r="C38" s="868">
        <v>15</v>
      </c>
      <c r="D38" s="863">
        <v>15</v>
      </c>
      <c r="E38" s="863">
        <v>13</v>
      </c>
      <c r="F38" s="863">
        <v>14</v>
      </c>
      <c r="G38" s="863">
        <v>14</v>
      </c>
      <c r="H38" s="483" t="s">
        <v>733</v>
      </c>
      <c r="I38" s="110"/>
      <c r="J38" s="110"/>
    </row>
    <row r="39" spans="1:12">
      <c r="A39" s="220" t="s">
        <v>764</v>
      </c>
      <c r="B39" s="221" t="s">
        <v>765</v>
      </c>
      <c r="C39" s="868">
        <v>2</v>
      </c>
      <c r="D39" s="863">
        <v>2</v>
      </c>
      <c r="E39" s="863">
        <v>2</v>
      </c>
      <c r="F39" s="863">
        <v>3</v>
      </c>
      <c r="G39" s="863">
        <v>2</v>
      </c>
      <c r="H39" s="483" t="s">
        <v>733</v>
      </c>
      <c r="I39" s="110"/>
      <c r="J39" s="465" t="s">
        <v>766</v>
      </c>
    </row>
    <row r="40" spans="1:12" ht="31.35" customHeight="1">
      <c r="A40" s="222" t="s">
        <v>767</v>
      </c>
      <c r="B40" s="221" t="s">
        <v>743</v>
      </c>
      <c r="C40" s="868">
        <v>8</v>
      </c>
      <c r="D40" s="863">
        <v>7</v>
      </c>
      <c r="E40" s="863">
        <v>9</v>
      </c>
      <c r="F40" s="863">
        <v>13</v>
      </c>
      <c r="G40" s="863">
        <v>10</v>
      </c>
      <c r="H40" s="483" t="s">
        <v>733</v>
      </c>
      <c r="I40" s="110"/>
      <c r="J40" s="464" t="s">
        <v>27</v>
      </c>
    </row>
    <row r="41" spans="1:12" ht="22.35" customHeight="1">
      <c r="A41" s="766" t="s">
        <v>755</v>
      </c>
      <c r="B41" s="221" t="s">
        <v>90</v>
      </c>
      <c r="C41" s="841">
        <v>0</v>
      </c>
      <c r="D41" s="842">
        <v>0</v>
      </c>
      <c r="E41" s="954">
        <v>0</v>
      </c>
      <c r="F41" s="954">
        <v>0</v>
      </c>
      <c r="G41" s="842">
        <v>0</v>
      </c>
      <c r="H41" s="483" t="s">
        <v>584</v>
      </c>
      <c r="I41" s="110"/>
      <c r="J41" s="465" t="s">
        <v>637</v>
      </c>
    </row>
    <row r="42" spans="1:12" ht="20.100000000000001" customHeight="1">
      <c r="A42" s="1063" t="s">
        <v>771</v>
      </c>
      <c r="B42" s="1064"/>
      <c r="C42" s="1065"/>
      <c r="D42" s="411"/>
      <c r="E42" s="484"/>
      <c r="F42" s="484"/>
      <c r="G42" s="411"/>
    </row>
    <row r="43" spans="1:12" ht="16.350000000000001" customHeight="1">
      <c r="A43" s="516" t="s">
        <v>772</v>
      </c>
      <c r="B43" s="186" t="s">
        <v>494</v>
      </c>
      <c r="C43" s="309">
        <v>15</v>
      </c>
      <c r="D43" s="268">
        <v>37</v>
      </c>
      <c r="E43" s="431">
        <v>54</v>
      </c>
      <c r="F43" s="431">
        <v>58</v>
      </c>
      <c r="G43" s="268">
        <v>58</v>
      </c>
      <c r="H43" s="483"/>
      <c r="I43" s="110"/>
      <c r="J43" s="110"/>
    </row>
    <row r="44" spans="1:12" ht="16.350000000000001" customHeight="1">
      <c r="A44" s="516" t="s">
        <v>773</v>
      </c>
      <c r="B44" s="186" t="s">
        <v>494</v>
      </c>
      <c r="C44" s="268">
        <v>13</v>
      </c>
      <c r="D44" s="268">
        <v>13</v>
      </c>
      <c r="E44" s="431">
        <v>13</v>
      </c>
      <c r="F44" s="431">
        <v>13</v>
      </c>
      <c r="G44" s="268">
        <v>13</v>
      </c>
      <c r="I44" s="110"/>
      <c r="J44" s="110"/>
    </row>
    <row r="45" spans="1:12" ht="20.100000000000001" customHeight="1">
      <c r="A45" s="499" t="s">
        <v>774</v>
      </c>
      <c r="B45" s="499"/>
      <c r="C45" s="499"/>
      <c r="D45" s="499"/>
      <c r="E45" s="500"/>
      <c r="F45" s="500"/>
      <c r="G45" s="499"/>
    </row>
    <row r="46" spans="1:12" ht="34.35" customHeight="1">
      <c r="A46" s="541" t="s">
        <v>775</v>
      </c>
      <c r="B46" s="305" t="s">
        <v>479</v>
      </c>
      <c r="C46" s="344">
        <v>0</v>
      </c>
      <c r="D46" s="344">
        <v>0</v>
      </c>
      <c r="E46" s="344">
        <v>0</v>
      </c>
      <c r="F46" s="344">
        <v>0</v>
      </c>
      <c r="G46" s="344">
        <v>0</v>
      </c>
      <c r="H46" s="483" t="s">
        <v>776</v>
      </c>
      <c r="I46" s="110"/>
      <c r="J46" s="464" t="s">
        <v>777</v>
      </c>
    </row>
    <row r="47" spans="1:12" ht="36" customHeight="1">
      <c r="A47" s="541" t="s">
        <v>778</v>
      </c>
      <c r="B47" s="305" t="s">
        <v>479</v>
      </c>
      <c r="C47" s="344">
        <v>0</v>
      </c>
      <c r="D47" s="344">
        <v>1</v>
      </c>
      <c r="E47" s="344">
        <v>0</v>
      </c>
      <c r="F47" s="344">
        <v>0</v>
      </c>
      <c r="G47" s="344">
        <v>0</v>
      </c>
      <c r="H47" s="483" t="s">
        <v>779</v>
      </c>
      <c r="I47" s="110"/>
      <c r="J47" s="110"/>
    </row>
    <row r="48" spans="1:12" ht="36" customHeight="1">
      <c r="A48" s="684" t="s">
        <v>780</v>
      </c>
      <c r="B48" s="305" t="s">
        <v>781</v>
      </c>
      <c r="C48" s="344">
        <v>9</v>
      </c>
      <c r="D48" s="344">
        <v>5</v>
      </c>
      <c r="E48" s="344">
        <v>9</v>
      </c>
      <c r="F48" s="344">
        <v>5</v>
      </c>
      <c r="G48" s="344" t="s">
        <v>782</v>
      </c>
      <c r="H48" s="483" t="s">
        <v>783</v>
      </c>
      <c r="I48" s="110"/>
      <c r="J48" s="110"/>
    </row>
    <row r="49" spans="1:10" ht="35.1" customHeight="1">
      <c r="A49" s="517" t="s">
        <v>784</v>
      </c>
      <c r="B49" s="305" t="s">
        <v>479</v>
      </c>
      <c r="C49" s="955">
        <v>0</v>
      </c>
      <c r="D49" s="955">
        <v>0</v>
      </c>
      <c r="E49" s="955">
        <v>0</v>
      </c>
      <c r="F49" s="955">
        <v>0</v>
      </c>
      <c r="G49" s="955">
        <v>0</v>
      </c>
      <c r="H49" s="483" t="s">
        <v>785</v>
      </c>
      <c r="I49" s="110"/>
      <c r="J49" s="110"/>
    </row>
    <row r="50" spans="1:10">
      <c r="A50" s="640" t="s">
        <v>828</v>
      </c>
      <c r="B50" s="310"/>
      <c r="C50" s="306"/>
      <c r="D50" s="306"/>
      <c r="E50" s="306"/>
      <c r="F50" s="306"/>
      <c r="G50" s="306"/>
      <c r="H50" s="469"/>
    </row>
    <row r="51" spans="1:10">
      <c r="A51" s="105"/>
      <c r="B51" s="143"/>
      <c r="D51" s="306"/>
      <c r="E51" s="306"/>
      <c r="F51" s="306"/>
      <c r="G51" s="306"/>
      <c r="I51" s="465"/>
    </row>
    <row r="52" spans="1:10">
      <c r="A52" s="105"/>
      <c r="B52" s="143"/>
      <c r="D52" s="306"/>
      <c r="E52" s="306"/>
      <c r="F52" s="306"/>
      <c r="G52" s="306"/>
      <c r="I52" s="465"/>
    </row>
    <row r="53" spans="1:10">
      <c r="A53" s="3"/>
      <c r="B53" s="143"/>
      <c r="I53" s="465"/>
    </row>
    <row r="54" spans="1:10">
      <c r="A54" s="3"/>
      <c r="B54" s="143"/>
      <c r="I54" s="465"/>
    </row>
    <row r="55" spans="1:10">
      <c r="A55" s="3"/>
      <c r="B55" s="143"/>
      <c r="I55" s="465"/>
    </row>
    <row r="56" spans="1:10">
      <c r="A56" s="3"/>
      <c r="B56" s="143"/>
      <c r="I56" s="465"/>
    </row>
    <row r="57" spans="1:10">
      <c r="A57" s="3"/>
      <c r="B57" s="143"/>
      <c r="I57" s="465"/>
    </row>
    <row r="58" spans="1:10">
      <c r="A58" s="3"/>
      <c r="B58" s="143"/>
      <c r="I58" s="465"/>
    </row>
    <row r="59" spans="1:10">
      <c r="A59" s="3"/>
      <c r="B59" s="143"/>
      <c r="I59" s="465"/>
    </row>
    <row r="60" spans="1:10">
      <c r="A60" s="3"/>
      <c r="B60" s="143"/>
      <c r="I60" s="465"/>
    </row>
    <row r="83" spans="8:9">
      <c r="H83" s="497"/>
      <c r="I83" s="498"/>
    </row>
  </sheetData>
  <mergeCells count="3">
    <mergeCell ref="A42:C42"/>
    <mergeCell ref="A14:G14"/>
    <mergeCell ref="A29:G29"/>
  </mergeCells>
  <pageMargins left="0.7" right="0.7" top="0.75" bottom="0.75" header="0.3" footer="0.3"/>
  <pageSetup paperSize="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11</vt:i4>
      </vt:variant>
      <vt:variant>
        <vt:lpstr>Именованные диапазоны</vt:lpstr>
      </vt:variant>
      <vt:variant>
        <vt:i4>2</vt:i4>
      </vt:variant>
    </vt:vector>
  </HeadingPairs>
  <TitlesOfParts>
    <vt:vector size="13" baseType="lpstr">
      <vt:lpstr>index</vt:lpstr>
      <vt:lpstr>Climate</vt:lpstr>
      <vt:lpstr>Energy</vt:lpstr>
      <vt:lpstr>IMS</vt:lpstr>
      <vt:lpstr>Water </vt:lpstr>
      <vt:lpstr>Emissions </vt:lpstr>
      <vt:lpstr>Land and waste</vt:lpstr>
      <vt:lpstr>Industrial safety</vt:lpstr>
      <vt:lpstr>Occupational safety</vt:lpstr>
      <vt:lpstr>Employees</vt:lpstr>
      <vt:lpstr>Corp. governance</vt:lpstr>
      <vt:lpstr>Climate!Область_печати</vt:lpstr>
      <vt:lpstr>'Land and waste'!Область_печати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Karibova, Mariya</dc:creator>
  <cp:lastModifiedBy>Терехова Ольга Николаевна</cp:lastModifiedBy>
  <cp:lastPrinted>2024-05-29T05:59:56Z</cp:lastPrinted>
  <dcterms:created xsi:type="dcterms:W3CDTF">2021-03-24T13:06:20Z</dcterms:created>
  <dcterms:modified xsi:type="dcterms:W3CDTF">2025-08-13T11:20:21Z</dcterms:modified>
</cp:coreProperties>
</file>